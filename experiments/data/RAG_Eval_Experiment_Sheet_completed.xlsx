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7e20b323f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376eeaf09e3436e"/>
    <x:sheet xmlns:r="http://schemas.openxmlformats.org/officeDocument/2006/relationships" name="Query Log" sheetId="2" r:id="Re786ef60d01e496b"/>
    <x:sheet xmlns:r="http://schemas.openxmlformats.org/officeDocument/2006/relationships" name="Analysis" sheetId="3" r:id="R7c8880b6fcf7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General"/>
    <x:numFmt numFmtId="165" formatCode="0.000"/>
    <x:numFmt numFmtId="166" formatCode="0.0%"/>
    <x:numFmt numFmtId="200" formatCode="0.00"/>
    <x:numFmt numFmtId="201" formatCode="$0.0000"/>
    <x:numFmt numFmtId="202" formatCode="0%"/>
  </x:numFmts>
  <x:fonts count="1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FFFF"/>
      <x:name val="Arial"/>
    </x:font>
    <x:font>
      <x:b/>
      <x:sz val="10"/>
      <x:color rgb="000000"/>
      <x:name val="Arial"/>
    </x:font>
    <x:font>
      <x:sz val="10"/>
      <x:color rgb="000000"/>
      <x:name val="Arial"/>
    </x:font>
    <x:font>
      <x:b/>
      <x:sz val="12"/>
      <x:color rgb="FFFFFF"/>
      <x:name val="Arial"/>
    </x:font>
    <x:font>
      <x:b/>
      <x:sz val="9"/>
      <x:color rgb="FFFFFF"/>
      <x:name val="Arial"/>
    </x:font>
    <x:font>
      <x:sz val="9"/>
      <x:color rgb="000000"/>
      <x:name val="Arial"/>
    </x:font>
    <x:font>
      <x:b/>
      <x:sz val="9"/>
      <x:color rgb="000000"/>
      <x:name val="Arial"/>
    </x:font>
    <x:font>
      <x:sz val="9"/>
      <x:color rgb="1A56DB"/>
      <x:name val="Arial"/>
    </x:font>
    <x:font>
      <x:b/>
      <x:sz val="16"/>
      <x:color rgb="FFFFFF"/>
      <x:name val="Arial"/>
    </x:font>
    <x:font>
      <x:b/>
      <x:sz val="10"/>
      <x:color rgb="111827"/>
      <x:name val="Arial"/>
    </x:font>
    <x:font>
      <x:sz val="9"/>
      <x:color rgb="000000"/>
      <x:name val="Consolas"/>
    </x:font>
    <x:font>
      <x:b/>
      <x:sz val="9"/>
      <x:color rgb="111827"/>
      <x:name val="Arial"/>
    </x:font>
    <x:font>
      <x:b/>
      <x:sz val="11"/>
      <x:color rgb="111827"/>
      <x:name val="Calibri"/>
    </x:font>
    <x:font>
      <x:b/>
      <x:sz val="11"/>
      <x:color rgb="FFFFFF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1F2D3D"/>
      </x:patternFill>
    </x:fill>
    <x:fill>
      <x:patternFill patternType="solid">
        <x:fgColor rgb="2E4057"/>
      </x:patternFill>
    </x:fill>
    <x:fill>
      <x:patternFill patternType="solid">
        <x:fgColor rgb="1A56DB"/>
      </x:patternFill>
    </x:fill>
    <x:fill>
      <x:patternFill patternType="solid">
        <x:fgColor rgb="117A65"/>
      </x:patternFill>
    </x:fill>
    <x:fill>
      <x:patternFill patternType="solid">
        <x:fgColor rgb="A04000"/>
      </x:patternFill>
    </x:fill>
    <x:fill>
      <x:patternFill patternType="solid">
        <x:fgColor rgb="D6E4F0"/>
      </x:patternFill>
    </x:fill>
    <x:fill>
      <x:patternFill patternType="solid">
        <x:fgColor rgb="F7F9FC"/>
      </x:patternFill>
    </x:fill>
    <x:fill>
      <x:patternFill patternType="solid">
        <x:fgColor rgb="FFFFFF"/>
      </x:patternFill>
    </x:fill>
    <x:fill>
      <x:patternFill patternType="solid">
        <x:fgColor rgb="D6F0E0"/>
      </x:patternFill>
    </x:fill>
    <x:fill>
      <x:patternFill patternType="solid">
        <x:fgColor rgb="FFF3CD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9FAFB"/>
      </x:patternFill>
    </x:fill>
    <x:fill>
      <x:patternFill patternType="solid">
        <x:fgColor rgb="E5E7EB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FFFFF"/>
      </x:patternFill>
    </x:fill>
  </x:fills>
  <x:borders count="4">
    <x:border diagonalUp="0" diagonalDown="0"/>
    <x:border diagonalUp="0" diagonalDown="0"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 diagonalUp="0" diagonalDown="0"/>
    <x:border diagonalUp="0" diagonalDown="0"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29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5" fillId="0" borderId="0" xfId="0" applyFont="1" applyBorder="0" applyAlignment="1">
      <x:alignment horizontal="left" vertical="center" wrapText="1"/>
    </x:xf>
    <x:xf numFmtId="164" fontId="6" fillId="0" borderId="0" xfId="0" applyFont="1" applyBorder="0" applyAlignment="1">
      <x:alignment horizontal="left" vertical="center" wrapText="1"/>
    </x:xf>
    <x:xf numFmtId="164" fontId="7" fillId="2" borderId="1" xfId="0" applyFont="1" applyBorder="1" applyAlignment="1">
      <x:alignment horizontal="center" vertical="center" wrapText="1"/>
    </x:xf>
    <x:xf numFmtId="164" fontId="8" fillId="3" borderId="1" xfId="0" applyFont="1" applyBorder="1" applyAlignment="1">
      <x:alignment horizontal="center" vertical="center" wrapText="1"/>
    </x:xf>
    <x:xf numFmtId="164" fontId="8" fillId="4" borderId="1" xfId="0" applyFont="1" applyBorder="1" applyAlignment="1">
      <x:alignment horizontal="center" vertical="center" wrapText="1"/>
    </x:xf>
    <x:xf numFmtId="164" fontId="8" fillId="5" borderId="1" xfId="0" applyFont="1" applyBorder="1" applyAlignment="1">
      <x:alignment horizontal="center" vertical="center" wrapText="1"/>
    </x:xf>
    <x:xf numFmtId="164" fontId="8" fillId="6" borderId="1" xfId="0" applyFont="1" applyBorder="1" applyAlignment="1">
      <x:alignment horizontal="center" vertical="center" wrapText="1"/>
    </x:xf>
    <x:xf numFmtId="164" fontId="9" fillId="7" borderId="1" xfId="0" applyFont="1" applyBorder="1" applyAlignment="1">
      <x:alignment horizontal="center" vertical="center" wrapText="1"/>
    </x:xf>
    <x:xf numFmtId="164" fontId="10" fillId="7" borderId="1" xfId="0" applyFont="1" applyBorder="1" applyAlignment="1">
      <x:alignment horizontal="center" vertical="center" wrapText="1"/>
    </x:xf>
    <x:xf numFmtId="164" fontId="9" fillId="7" borderId="1" xfId="0" applyFont="1" applyBorder="1" applyAlignment="1">
      <x:alignment horizontal="left" vertical="center" wrapText="1"/>
    </x:xf>
    <x:xf numFmtId="164" fontId="9" fillId="8" borderId="1" xfId="0" applyFont="1" applyBorder="1" applyAlignment="1">
      <x:alignment horizontal="left" vertical="center" wrapText="1"/>
    </x:xf>
    <x:xf numFmtId="164" fontId="11" fillId="9" borderId="1" xfId="0" applyFont="1" applyBorder="1" applyAlignment="1">
      <x:alignment horizontal="center" vertical="center" wrapText="1"/>
    </x:xf>
    <x:xf numFmtId="164" fontId="9" fillId="9" borderId="1" xfId="0" applyFont="1" applyBorder="1" applyAlignment="1">
      <x:alignment horizontal="center" vertical="center" wrapText="1"/>
    </x:xf>
    <x:xf numFmtId="164" fontId="9" fillId="9" borderId="1" xfId="0" applyFont="1" applyBorder="1" applyAlignment="1">
      <x:alignment horizontal="left" vertical="center" wrapText="1"/>
    </x:xf>
    <x:xf numFmtId="164" fontId="9" fillId="10" borderId="1" xfId="0" applyFont="1" applyBorder="1" applyAlignment="1">
      <x:alignment horizontal="center" vertical="center" wrapText="1"/>
    </x:xf>
    <x:xf numFmtId="164" fontId="10" fillId="10" borderId="1" xfId="0" applyFont="1" applyBorder="1" applyAlignment="1">
      <x:alignment horizontal="center" vertical="center" wrapText="1"/>
    </x:xf>
    <x:xf numFmtId="164" fontId="9" fillId="10" borderId="1" xfId="0" applyFont="1" applyBorder="1" applyAlignment="1">
      <x:alignment horizontal="left" vertical="center" wrapText="1"/>
    </x:xf>
    <x:xf numFmtId="164" fontId="9" fillId="11" borderId="1" xfId="0" applyFont="1" applyBorder="1" applyAlignment="1">
      <x:alignment horizontal="center" vertical="center" wrapText="1"/>
    </x:xf>
    <x:xf numFmtId="164" fontId="10" fillId="11" borderId="1" xfId="0" applyFont="1" applyBorder="1" applyAlignment="1">
      <x:alignment horizontal="center" vertical="center" wrapText="1"/>
    </x:xf>
    <x:xf numFmtId="164" fontId="9" fillId="11" borderId="1" xfId="0" applyFont="1" applyBorder="1" applyAlignment="1">
      <x:alignment horizontal="left" vertical="center" wrapText="1"/>
    </x:xf>
    <x:xf numFmtId="164" fontId="8" fillId="2" borderId="1" xfId="0" applyFont="1" applyBorder="1" applyAlignment="1">
      <x:alignment horizontal="center" vertical="center" wrapText="1"/>
    </x:xf>
    <x:xf numFmtId="164" fontId="10" fillId="9" borderId="1" xfId="0" applyFont="1" applyBorder="1" applyAlignment="1">
      <x:alignment horizontal="left" vertical="center" wrapText="1"/>
    </x:xf>
    <x:xf numFmtId="165" fontId="11" fillId="9" borderId="1" xfId="0" applyFont="1" applyBorder="1" applyAlignment="1">
      <x:alignment horizontal="center" vertical="center" wrapText="1"/>
    </x:xf>
    <x:xf numFmtId="164" fontId="10" fillId="8" borderId="1" xfId="0" applyFont="1" applyBorder="1" applyAlignment="1">
      <x:alignment horizontal="left" vertical="center" wrapText="1"/>
    </x:xf>
    <x:xf numFmtId="165" fontId="11" fillId="8" borderId="1" xfId="0" applyFont="1" applyBorder="1" applyAlignment="1">
      <x:alignment horizontal="center" vertical="center" wrapText="1"/>
    </x:xf>
    <x:xf numFmtId="164" fontId="9" fillId="8" borderId="1" xfId="0" applyFont="1" applyBorder="1" applyAlignment="1">
      <x:alignment horizontal="center" vertical="center" wrapText="1"/>
    </x:xf>
    <x:xf numFmtId="164" fontId="11" fillId="8" borderId="1" xfId="0" applyFont="1" applyBorder="1" applyAlignment="1">
      <x:alignment horizontal="center" vertical="center" wrapText="1"/>
    </x:xf>
    <x:xf numFmtId="166" fontId="9" fillId="8" borderId="1" xfId="0" applyFont="1" applyBorder="1" applyAlignment="1">
      <x:alignment horizontal="center" vertical="center" wrapText="1"/>
    </x:xf>
    <x:xf numFmtId="166" fontId="9" fillId="9" borderId="1" xfId="0" applyFont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5" fillId="0" borderId="2" xfId="0" applyNumberFormat="1" applyFont="1" applyFill="1" applyBorder="1" applyAlignment="1">
      <x:alignment horizontal="left" vertical="center" wrapText="1"/>
    </x:xf>
    <x:xf numFmtId="164" fontId="6" fillId="0" borderId="2" xfId="0" applyNumberFormat="1" applyFont="1" applyFill="1" applyBorder="1" applyAlignment="1">
      <x:alignment horizontal="left" vertical="center" wrapText="1"/>
    </x:xf>
    <x:xf numFmtId="164" fontId="7" fillId="2" borderId="3" xfId="0" applyNumberFormat="1" applyFont="1" applyFill="1" applyBorder="1" applyAlignment="1">
      <x:alignment horizontal="center" vertical="center" wrapText="1"/>
    </x:xf>
    <x:xf numFmtId="164" fontId="8" fillId="3" borderId="3" xfId="0" applyNumberFormat="1" applyFont="1" applyFill="1" applyBorder="1" applyAlignment="1">
      <x:alignment horizontal="center" vertical="center" wrapText="1"/>
    </x:xf>
    <x:xf numFmtId="164" fontId="8" fillId="4" borderId="3" xfId="0" applyNumberFormat="1" applyFont="1" applyFill="1" applyBorder="1" applyAlignment="1">
      <x:alignment horizontal="center" vertical="center" wrapText="1"/>
    </x:xf>
    <x:xf numFmtId="164" fontId="8" fillId="5" borderId="3" xfId="0" applyNumberFormat="1" applyFont="1" applyFill="1" applyBorder="1" applyAlignment="1">
      <x:alignment horizontal="center" vertical="center" wrapText="1"/>
    </x:xf>
    <x:xf numFmtId="164" fontId="8" fillId="6" borderId="3" xfId="0" applyNumberFormat="1" applyFont="1" applyFill="1" applyBorder="1" applyAlignment="1">
      <x:alignment horizontal="center" vertical="center" wrapText="1"/>
    </x:xf>
    <x:xf numFmtId="164" fontId="9" fillId="7" borderId="3" xfId="0" applyNumberFormat="1" applyFont="1" applyFill="1" applyBorder="1" applyAlignment="1">
      <x:alignment horizontal="center" vertical="center" wrapText="1"/>
    </x:xf>
    <x:xf numFmtId="164" fontId="10" fillId="7" borderId="3" xfId="0" applyNumberFormat="1" applyFont="1" applyFill="1" applyBorder="1" applyAlignment="1">
      <x:alignment horizontal="center" vertical="center" wrapText="1"/>
    </x:xf>
    <x:xf numFmtId="164" fontId="9" fillId="7" borderId="3" xfId="0" applyNumberFormat="1" applyFont="1" applyFill="1" applyBorder="1" applyAlignment="1">
      <x:alignment horizontal="left" vertical="center" wrapText="1"/>
    </x:xf>
    <x:xf numFmtId="164" fontId="9" fillId="8" borderId="3" xfId="0" applyNumberFormat="1" applyFont="1" applyFill="1" applyBorder="1" applyAlignment="1">
      <x:alignment horizontal="left" vertical="center" wrapText="1"/>
    </x:xf>
    <x:xf numFmtId="164" fontId="11" fillId="9" borderId="3" xfId="0" applyNumberFormat="1" applyFont="1" applyFill="1" applyBorder="1" applyAlignment="1">
      <x:alignment horizontal="center" vertical="center" wrapText="1"/>
    </x:xf>
    <x:xf numFmtId="164" fontId="9" fillId="9" borderId="3" xfId="0" applyNumberFormat="1" applyFont="1" applyFill="1" applyBorder="1" applyAlignment="1">
      <x:alignment horizontal="center" vertical="center" wrapText="1"/>
    </x:xf>
    <x:xf numFmtId="164" fontId="9" fillId="9" borderId="3" xfId="0" applyNumberFormat="1" applyFont="1" applyFill="1" applyBorder="1" applyAlignment="1">
      <x:alignment horizontal="left" vertical="center" wrapText="1"/>
    </x:xf>
    <x:xf numFmtId="164" fontId="9" fillId="10" borderId="3" xfId="0" applyNumberFormat="1" applyFont="1" applyFill="1" applyBorder="1" applyAlignment="1">
      <x:alignment horizontal="center" vertical="center" wrapText="1"/>
    </x:xf>
    <x:xf numFmtId="164" fontId="10" fillId="10" borderId="3" xfId="0" applyNumberFormat="1" applyFont="1" applyFill="1" applyBorder="1" applyAlignment="1">
      <x:alignment horizontal="center" vertical="center" wrapText="1"/>
    </x:xf>
    <x:xf numFmtId="164" fontId="9" fillId="10" borderId="3" xfId="0" applyNumberFormat="1" applyFont="1" applyFill="1" applyBorder="1" applyAlignment="1">
      <x:alignment horizontal="left" vertical="center" wrapText="1"/>
    </x:xf>
    <x:xf numFmtId="164" fontId="9" fillId="11" borderId="3" xfId="0" applyNumberFormat="1" applyFont="1" applyFill="1" applyBorder="1" applyAlignment="1">
      <x:alignment horizontal="center" vertical="center" wrapText="1"/>
    </x:xf>
    <x:xf numFmtId="164" fontId="10" fillId="11" borderId="3" xfId="0" applyNumberFormat="1" applyFont="1" applyFill="1" applyBorder="1" applyAlignment="1">
      <x:alignment horizontal="center" vertical="center" wrapText="1"/>
    </x:xf>
    <x:xf numFmtId="164" fontId="9" fillId="11" borderId="3" xfId="0" applyNumberFormat="1" applyFont="1" applyFill="1" applyBorder="1" applyAlignment="1">
      <x:alignment horizontal="left" vertical="center" wrapText="1"/>
    </x:xf>
    <x:xf numFmtId="164" fontId="8" fillId="2" borderId="3" xfId="0" applyNumberFormat="1" applyFont="1" applyFill="1" applyBorder="1" applyAlignment="1">
      <x:alignment horizontal="center" vertical="center" wrapText="1"/>
    </x:xf>
    <x:xf numFmtId="164" fontId="10" fillId="9" borderId="3" xfId="0" applyNumberFormat="1" applyFont="1" applyFill="1" applyBorder="1" applyAlignment="1">
      <x:alignment horizontal="left" vertical="center" wrapText="1"/>
    </x:xf>
    <x:xf numFmtId="165" fontId="11" fillId="9" borderId="3" xfId="0" applyNumberFormat="1" applyFont="1" applyFill="1" applyBorder="1" applyAlignment="1">
      <x:alignment horizontal="center" vertical="center" wrapText="1"/>
    </x:xf>
    <x:xf numFmtId="164" fontId="10" fillId="8" borderId="3" xfId="0" applyNumberFormat="1" applyFont="1" applyFill="1" applyBorder="1" applyAlignment="1">
      <x:alignment horizontal="left" vertical="center" wrapText="1"/>
    </x:xf>
    <x:xf numFmtId="165" fontId="11" fillId="8" borderId="3" xfId="0" applyNumberFormat="1" applyFont="1" applyFill="1" applyBorder="1" applyAlignment="1">
      <x:alignment horizontal="center" vertical="center" wrapText="1"/>
    </x:xf>
    <x:xf numFmtId="164" fontId="9" fillId="8" borderId="3" xfId="0" applyNumberFormat="1" applyFont="1" applyFill="1" applyBorder="1" applyAlignment="1">
      <x:alignment horizontal="center" vertical="center" wrapText="1"/>
    </x:xf>
    <x:xf numFmtId="164" fontId="11" fillId="8" borderId="3" xfId="0" applyNumberFormat="1" applyFont="1" applyFill="1" applyBorder="1" applyAlignment="1">
      <x:alignment horizontal="center" vertical="center" wrapText="1"/>
    </x:xf>
    <x:xf numFmtId="166" fontId="9" fillId="8" borderId="3" xfId="0" applyNumberFormat="1" applyFont="1" applyFill="1" applyBorder="1" applyAlignment="1">
      <x:alignment horizontal="center" vertical="center" wrapText="1"/>
    </x:xf>
    <x:xf numFmtId="166" fontId="9" fillId="9" borderId="3" xfId="0" applyNumberFormat="1" applyFont="1" applyFill="1" applyBorder="1" applyAlignment="1">
      <x:alignment horizontal="center" vertical="center" wrapText="1"/>
    </x:xf>
    <x:xf numFmtId="164" fontId="4" fillId="12" borderId="1" xfId="0" applyNumberFormat="1" applyFont="1" applyFill="1" applyBorder="1" applyAlignment="1">
      <x:alignment horizontal="center" vertical="center" wrapText="1"/>
    </x:xf>
    <x:xf numFmtId="164" fontId="12" fillId="12" borderId="1" xfId="0" applyNumberFormat="1" applyFont="1" applyFill="1" applyBorder="1" applyAlignment="1">
      <x:alignment horizontal="center" vertical="center" wrapText="1"/>
    </x:xf>
    <x:xf numFmtId="164" fontId="4" fillId="12" borderId="3" xfId="0" applyNumberFormat="1" applyFont="1" applyFill="1" applyBorder="1" applyAlignment="1">
      <x:alignment horizontal="center" vertical="center" wrapText="1"/>
    </x:xf>
    <x:xf numFmtId="164" fontId="12" fillId="12" borderId="3" xfId="0" applyNumberFormat="1" applyFont="1" applyFill="1" applyBorder="1" applyAlignment="1">
      <x:alignment horizontal="center" vertical="center" wrapText="1"/>
    </x:xf>
    <x:xf numFmtId="164" fontId="5" fillId="13" borderId="0" xfId="0" applyNumberFormat="1" applyFont="1" applyFill="1" applyBorder="1" applyAlignment="1">
      <x:alignment horizontal="left" vertical="center" wrapText="1"/>
    </x:xf>
    <x:xf numFmtId="164" fontId="13" fillId="13" borderId="0" xfId="0" applyNumberFormat="1" applyFont="1" applyFill="1" applyBorder="1" applyAlignment="1">
      <x:alignment horizontal="left" vertical="center" wrapText="1"/>
    </x:xf>
    <x:xf numFmtId="164" fontId="5" fillId="13" borderId="2" xfId="0" applyNumberFormat="1" applyFont="1" applyFill="1" applyBorder="1" applyAlignment="1">
      <x:alignment horizontal="left" vertical="center" wrapText="1"/>
    </x:xf>
    <x:xf numFmtId="164" fontId="13" fillId="13" borderId="2" xfId="0" applyNumberFormat="1" applyFont="1" applyFill="1" applyBorder="1" applyAlignment="1">
      <x:alignment horizontal="left" vertical="center" wrapText="1"/>
    </x:xf>
    <x:xf numFmtId="164" fontId="6" fillId="13" borderId="0" xfId="0" applyNumberFormat="1" applyFont="1" applyFill="1" applyBorder="1" applyAlignment="1">
      <x:alignment horizontal="left" vertical="center" wrapText="1"/>
    </x:xf>
    <x:xf numFmtId="164" fontId="6" fillId="13" borderId="2" xfId="0" applyNumberFormat="1" applyFont="1" applyFill="1" applyBorder="1" applyAlignment="1">
      <x:alignment horizontal="left" vertical="center" wrapText="1"/>
    </x:xf>
    <x:xf numFmtId="164" fontId="6" fillId="0" borderId="0" xfId="0" applyNumberFormat="1" applyFont="1" applyFill="1" applyBorder="1" applyAlignment="1">
      <x:alignment horizontal="left" vertical="center" wrapText="1"/>
    </x:xf>
    <x:xf numFmtId="164" fontId="5" fillId="0" borderId="0" xfId="0" applyNumberFormat="1" applyFont="1" applyFill="1" applyBorder="1" applyAlignment="1">
      <x:alignment horizontal="left" vertical="center" wrapText="1"/>
    </x:xf>
    <x:xf numFmtId="164" fontId="6" fillId="14" borderId="0" xfId="0" applyNumberFormat="1" applyFont="1" applyFill="1" applyBorder="1" applyAlignment="1">
      <x:alignment horizontal="left" vertical="center" wrapText="1"/>
    </x:xf>
    <x:xf numFmtId="164" fontId="14" fillId="14" borderId="0" xfId="0" applyNumberFormat="1" applyFont="1" applyFill="1" applyBorder="1" applyAlignment="1">
      <x:alignment horizontal="left" vertical="center" wrapText="1"/>
    </x:xf>
    <x:xf numFmtId="164" fontId="14" fillId="14" borderId="0" xfId="0" applyNumberFormat="1" applyFont="1" applyFill="1" applyBorder="1" applyAlignment="1">
      <x:alignment horizontal="left" vertical="top" wrapText="1"/>
    </x:xf>
    <x:xf numFmtId="164" fontId="6" fillId="14" borderId="2" xfId="0" applyNumberFormat="1" applyFont="1" applyFill="1" applyBorder="1" applyAlignment="1">
      <x:alignment horizontal="left" vertical="center" wrapText="1"/>
    </x:xf>
    <x:xf numFmtId="164" fontId="14" fillId="14" borderId="2" xfId="0" applyNumberFormat="1" applyFont="1" applyFill="1" applyBorder="1" applyAlignment="1">
      <x:alignment horizontal="left" vertical="center" wrapText="1"/>
    </x:xf>
    <x:xf numFmtId="164" fontId="14" fillId="14" borderId="2" xfId="0" applyNumberFormat="1" applyFont="1" applyFill="1" applyBorder="1" applyAlignment="1">
      <x:alignment horizontal="left" vertical="top" wrapText="1"/>
    </x:xf>
    <x:xf numFmtId="164" fontId="7" fillId="12" borderId="1" xfId="0" applyNumberFormat="1" applyFont="1" applyFill="1" applyBorder="1" applyAlignment="1">
      <x:alignment horizontal="center" vertical="center" wrapText="1"/>
    </x:xf>
    <x:xf numFmtId="164" fontId="7" fillId="12" borderId="3" xfId="0" applyNumberFormat="1" applyFont="1" applyFill="1" applyBorder="1" applyAlignment="1">
      <x:alignment horizontal="center" vertical="center" wrapText="1"/>
    </x:xf>
    <x:xf numFmtId="164" fontId="8" fillId="15" borderId="1" xfId="0" applyNumberFormat="1" applyFont="1" applyFill="1" applyBorder="1" applyAlignment="1">
      <x:alignment horizontal="center" vertical="center" wrapText="1"/>
    </x:xf>
    <x:xf numFmtId="164" fontId="15" fillId="15" borderId="1" xfId="0" applyNumberFormat="1" applyFont="1" applyFill="1" applyBorder="1" applyAlignment="1">
      <x:alignment horizontal="center" vertical="center" wrapText="1"/>
    </x:xf>
    <x:xf numFmtId="164" fontId="8" fillId="15" borderId="3" xfId="0" applyNumberFormat="1" applyFont="1" applyFill="1" applyBorder="1" applyAlignment="1">
      <x:alignment horizontal="center" vertical="center" wrapText="1"/>
    </x:xf>
    <x:xf numFmtId="164" fontId="15" fillId="15" borderId="3" xfId="0" applyNumberFormat="1" applyFont="1" applyFill="1" applyBorder="1" applyAlignment="1">
      <x:alignment horizontal="center" vertical="center" wrapText="1"/>
    </x:xf>
    <x:xf numFmtId="164" fontId="8" fillId="12" borderId="1" xfId="0" applyNumberFormat="1" applyFont="1" applyFill="1" applyBorder="1" applyAlignment="1">
      <x:alignment horizontal="center" vertical="center" wrapText="1"/>
    </x:xf>
    <x:xf numFmtId="164" fontId="8" fillId="12" borderId="3" xfId="0" applyNumberFormat="1" applyFont="1" applyFill="1" applyBorder="1" applyAlignment="1">
      <x:alignment horizontal="center" vertical="center" wrapText="1"/>
    </x:xf>
    <x:xf numFmtId="164" fontId="9" fillId="7" borderId="1" xfId="0" applyNumberFormat="1" applyFont="1" applyFill="1" applyBorder="1" applyAlignment="1">
      <x:alignment horizontal="center" vertical="center" wrapText="1"/>
    </x:xf>
    <x:xf numFmtId="164" fontId="10" fillId="7" borderId="1" xfId="0" applyNumberFormat="1" applyFont="1" applyFill="1" applyBorder="1" applyAlignment="1">
      <x:alignment horizontal="center" vertical="center" wrapText="1"/>
    </x:xf>
    <x:xf numFmtId="164" fontId="9" fillId="7" borderId="1" xfId="0" applyNumberFormat="1" applyFont="1" applyFill="1" applyBorder="1" applyAlignment="1">
      <x:alignment horizontal="left" vertical="center" wrapText="1"/>
    </x:xf>
    <x:xf numFmtId="164" fontId="9" fillId="8" borderId="1" xfId="0" applyNumberFormat="1" applyFont="1" applyFill="1" applyBorder="1" applyAlignment="1">
      <x:alignment horizontal="left" vertical="center" wrapText="1"/>
    </x:xf>
    <x:xf numFmtId="164" fontId="11" fillId="9" borderId="1" xfId="0" applyNumberFormat="1" applyFont="1" applyFill="1" applyBorder="1" applyAlignment="1">
      <x:alignment horizontal="center" vertical="center" wrapText="1"/>
    </x:xf>
    <x:xf numFmtId="164" fontId="9" fillId="9" borderId="1" xfId="0" applyNumberFormat="1" applyFont="1" applyFill="1" applyBorder="1" applyAlignment="1">
      <x:alignment horizontal="center" vertical="center" wrapText="1"/>
    </x:xf>
    <x:xf numFmtId="164" fontId="9" fillId="9" borderId="1" xfId="0" applyNumberFormat="1" applyFont="1" applyFill="1" applyBorder="1" applyAlignment="1">
      <x:alignment horizontal="left" vertical="center" wrapText="1"/>
    </x:xf>
    <x:xf numFmtId="164" fontId="9" fillId="10" borderId="1" xfId="0" applyNumberFormat="1" applyFont="1" applyFill="1" applyBorder="1" applyAlignment="1">
      <x:alignment horizontal="center" vertical="center" wrapText="1"/>
    </x:xf>
    <x:xf numFmtId="164" fontId="10" fillId="10" borderId="1" xfId="0" applyNumberFormat="1" applyFont="1" applyFill="1" applyBorder="1" applyAlignment="1">
      <x:alignment horizontal="center" vertical="center" wrapText="1"/>
    </x:xf>
    <x:xf numFmtId="164" fontId="9" fillId="10" borderId="1" xfId="0" applyNumberFormat="1" applyFont="1" applyFill="1" applyBorder="1" applyAlignment="1">
      <x:alignment horizontal="left" vertical="center" wrapText="1"/>
    </x:xf>
    <x:xf numFmtId="164" fontId="9" fillId="11" borderId="1" xfId="0" applyNumberFormat="1" applyFont="1" applyFill="1" applyBorder="1" applyAlignment="1">
      <x:alignment horizontal="center" vertical="center" wrapText="1"/>
    </x:xf>
    <x:xf numFmtId="164" fontId="10" fillId="11" borderId="1" xfId="0" applyNumberFormat="1" applyFont="1" applyFill="1" applyBorder="1" applyAlignment="1">
      <x:alignment horizontal="center" vertical="center" wrapText="1"/>
    </x:xf>
    <x:xf numFmtId="164" fontId="9" fillId="11" borderId="1" xfId="0" applyNumberFormat="1" applyFont="1" applyFill="1" applyBorder="1" applyAlignment="1">
      <x:alignment horizontal="left" vertical="center" wrapText="1"/>
    </x:xf>
    <x:xf numFmtId="164" fontId="9" fillId="7" borderId="1" xfId="0" applyNumberFormat="1" applyFont="1" applyFill="1" applyBorder="1" applyAlignment="1">
      <x:alignment horizontal="center" vertical="top" wrapText="1"/>
    </x:xf>
    <x:xf numFmtId="164" fontId="10" fillId="7" borderId="1" xfId="0" applyNumberFormat="1" applyFont="1" applyFill="1" applyBorder="1" applyAlignment="1">
      <x:alignment horizontal="center" vertical="top" wrapText="1"/>
    </x:xf>
    <x:xf numFmtId="164" fontId="9" fillId="7" borderId="1" xfId="0" applyNumberFormat="1" applyFont="1" applyFill="1" applyBorder="1" applyAlignment="1">
      <x:alignment horizontal="left" vertical="top" wrapText="1"/>
    </x:xf>
    <x:xf numFmtId="164" fontId="9" fillId="8" borderId="1" xfId="0" applyNumberFormat="1" applyFont="1" applyFill="1" applyBorder="1" applyAlignment="1">
      <x:alignment horizontal="left" vertical="top" wrapText="1"/>
    </x:xf>
    <x:xf numFmtId="164" fontId="11" fillId="9" borderId="1" xfId="0" applyNumberFormat="1" applyFont="1" applyFill="1" applyBorder="1" applyAlignment="1">
      <x:alignment horizontal="center" vertical="top" wrapText="1"/>
    </x:xf>
    <x:xf numFmtId="164" fontId="9" fillId="9" borderId="1" xfId="0" applyNumberFormat="1" applyFont="1" applyFill="1" applyBorder="1" applyAlignment="1">
      <x:alignment horizontal="center" vertical="top" wrapText="1"/>
    </x:xf>
    <x:xf numFmtId="164" fontId="9" fillId="9" borderId="1" xfId="0" applyNumberFormat="1" applyFont="1" applyFill="1" applyBorder="1" applyAlignment="1">
      <x:alignment horizontal="left" vertical="top" wrapText="1"/>
    </x:xf>
    <x:xf numFmtId="164" fontId="9" fillId="10" borderId="1" xfId="0" applyNumberFormat="1" applyFont="1" applyFill="1" applyBorder="1" applyAlignment="1">
      <x:alignment horizontal="center" vertical="top" wrapText="1"/>
    </x:xf>
    <x:xf numFmtId="164" fontId="10" fillId="10" borderId="1" xfId="0" applyNumberFormat="1" applyFont="1" applyFill="1" applyBorder="1" applyAlignment="1">
      <x:alignment horizontal="center" vertical="top" wrapText="1"/>
    </x:xf>
    <x:xf numFmtId="164" fontId="9" fillId="10" borderId="1" xfId="0" applyNumberFormat="1" applyFont="1" applyFill="1" applyBorder="1" applyAlignment="1">
      <x:alignment horizontal="left" vertical="top" wrapText="1"/>
    </x:xf>
    <x:xf numFmtId="164" fontId="9" fillId="11" borderId="1" xfId="0" applyNumberFormat="1" applyFont="1" applyFill="1" applyBorder="1" applyAlignment="1">
      <x:alignment horizontal="center" vertical="top" wrapText="1"/>
    </x:xf>
    <x:xf numFmtId="164" fontId="10" fillId="11" borderId="1" xfId="0" applyNumberFormat="1" applyFont="1" applyFill="1" applyBorder="1" applyAlignment="1">
      <x:alignment horizontal="center" vertical="top" wrapText="1"/>
    </x:xf>
    <x:xf numFmtId="164" fontId="9" fillId="11" borderId="1" xfId="0" applyNumberFormat="1" applyFont="1" applyFill="1" applyBorder="1" applyAlignment="1">
      <x:alignment horizontal="left" vertical="top" wrapText="1"/>
    </x:xf>
    <x:xf numFmtId="164" fontId="9" fillId="7" borderId="3" xfId="0" applyNumberFormat="1" applyFont="1" applyFill="1" applyBorder="1" applyAlignment="1">
      <x:alignment horizontal="center" vertical="top" wrapText="1"/>
    </x:xf>
    <x:xf numFmtId="164" fontId="10" fillId="7" borderId="3" xfId="0" applyNumberFormat="1" applyFont="1" applyFill="1" applyBorder="1" applyAlignment="1">
      <x:alignment horizontal="center" vertical="top" wrapText="1"/>
    </x:xf>
    <x:xf numFmtId="164" fontId="9" fillId="7" borderId="3" xfId="0" applyNumberFormat="1" applyFont="1" applyFill="1" applyBorder="1" applyAlignment="1">
      <x:alignment horizontal="left" vertical="top" wrapText="1"/>
    </x:xf>
    <x:xf numFmtId="164" fontId="9" fillId="8" borderId="3" xfId="0" applyNumberFormat="1" applyFont="1" applyFill="1" applyBorder="1" applyAlignment="1">
      <x:alignment horizontal="left" vertical="top" wrapText="1"/>
    </x:xf>
    <x:xf numFmtId="164" fontId="11" fillId="9" borderId="3" xfId="0" applyNumberFormat="1" applyFont="1" applyFill="1" applyBorder="1" applyAlignment="1">
      <x:alignment horizontal="center" vertical="top" wrapText="1"/>
    </x:xf>
    <x:xf numFmtId="164" fontId="9" fillId="9" borderId="3" xfId="0" applyNumberFormat="1" applyFont="1" applyFill="1" applyBorder="1" applyAlignment="1">
      <x:alignment horizontal="center" vertical="top" wrapText="1"/>
    </x:xf>
    <x:xf numFmtId="164" fontId="9" fillId="9" borderId="3" xfId="0" applyNumberFormat="1" applyFont="1" applyFill="1" applyBorder="1" applyAlignment="1">
      <x:alignment horizontal="left" vertical="top" wrapText="1"/>
    </x:xf>
    <x:xf numFmtId="164" fontId="9" fillId="10" borderId="3" xfId="0" applyNumberFormat="1" applyFont="1" applyFill="1" applyBorder="1" applyAlignment="1">
      <x:alignment horizontal="center" vertical="top" wrapText="1"/>
    </x:xf>
    <x:xf numFmtId="164" fontId="10" fillId="10" borderId="3" xfId="0" applyNumberFormat="1" applyFont="1" applyFill="1" applyBorder="1" applyAlignment="1">
      <x:alignment horizontal="center" vertical="top" wrapText="1"/>
    </x:xf>
    <x:xf numFmtId="164" fontId="9" fillId="10" borderId="3" xfId="0" applyNumberFormat="1" applyFont="1" applyFill="1" applyBorder="1" applyAlignment="1">
      <x:alignment horizontal="left" vertical="top" wrapText="1"/>
    </x:xf>
    <x:xf numFmtId="164" fontId="9" fillId="11" borderId="3" xfId="0" applyNumberFormat="1" applyFont="1" applyFill="1" applyBorder="1" applyAlignment="1">
      <x:alignment horizontal="center" vertical="top" wrapText="1"/>
    </x:xf>
    <x:xf numFmtId="164" fontId="10" fillId="11" borderId="3" xfId="0" applyNumberFormat="1" applyFont="1" applyFill="1" applyBorder="1" applyAlignment="1">
      <x:alignment horizontal="center" vertical="top" wrapText="1"/>
    </x:xf>
    <x:xf numFmtId="164" fontId="9" fillId="11" borderId="3" xfId="0" applyNumberFormat="1" applyFont="1" applyFill="1" applyBorder="1" applyAlignment="1">
      <x:alignment horizontal="left" vertical="top" wrapText="1"/>
    </x:xf>
    <x:xf numFmtId="164" fontId="9" fillId="13" borderId="1" xfId="0" applyNumberFormat="1" applyFont="1" applyFill="1" applyBorder="1" applyAlignment="1">
      <x:alignment horizontal="center" vertical="top" wrapText="1"/>
    </x:xf>
    <x:xf numFmtId="164" fontId="10" fillId="13" borderId="1" xfId="0" applyNumberFormat="1" applyFont="1" applyFill="1" applyBorder="1" applyAlignment="1">
      <x:alignment horizontal="center" vertical="top" wrapText="1"/>
    </x:xf>
    <x:xf numFmtId="164" fontId="9" fillId="13" borderId="1" xfId="0" applyNumberFormat="1" applyFont="1" applyFill="1" applyBorder="1" applyAlignment="1">
      <x:alignment horizontal="left" vertical="top" wrapText="1"/>
    </x:xf>
    <x:xf numFmtId="164" fontId="11" fillId="13" borderId="1" xfId="0" applyNumberFormat="1" applyFont="1" applyFill="1" applyBorder="1" applyAlignment="1">
      <x:alignment horizontal="center" vertical="top" wrapText="1"/>
    </x:xf>
    <x:xf numFmtId="164" fontId="9" fillId="13" borderId="3" xfId="0" applyNumberFormat="1" applyFont="1" applyFill="1" applyBorder="1" applyAlignment="1">
      <x:alignment horizontal="center" vertical="top" wrapText="1"/>
    </x:xf>
    <x:xf numFmtId="164" fontId="10" fillId="13" borderId="3" xfId="0" applyNumberFormat="1" applyFont="1" applyFill="1" applyBorder="1" applyAlignment="1">
      <x:alignment horizontal="center" vertical="top" wrapText="1"/>
    </x:xf>
    <x:xf numFmtId="164" fontId="9" fillId="13" borderId="3" xfId="0" applyNumberFormat="1" applyFont="1" applyFill="1" applyBorder="1" applyAlignment="1">
      <x:alignment horizontal="left" vertical="top" wrapText="1"/>
    </x:xf>
    <x:xf numFmtId="164" fontId="11" fillId="13" borderId="3" xfId="0" applyNumberFormat="1" applyFont="1" applyFill="1" applyBorder="1" applyAlignment="1">
      <x:alignment horizontal="center" vertical="top" wrapText="1"/>
    </x:xf>
    <x:xf numFmtId="164" fontId="9" fillId="16" borderId="1" xfId="0" applyNumberFormat="1" applyFont="1" applyFill="1" applyBorder="1" applyAlignment="1">
      <x:alignment horizontal="center" vertical="top" wrapText="1"/>
    </x:xf>
    <x:xf numFmtId="164" fontId="10" fillId="16" borderId="1" xfId="0" applyNumberFormat="1" applyFont="1" applyFill="1" applyBorder="1" applyAlignment="1">
      <x:alignment horizontal="center" vertical="top" wrapText="1"/>
    </x:xf>
    <x:xf numFmtId="164" fontId="9" fillId="16" borderId="1" xfId="0" applyNumberFormat="1" applyFont="1" applyFill="1" applyBorder="1" applyAlignment="1">
      <x:alignment horizontal="left" vertical="top" wrapText="1"/>
    </x:xf>
    <x:xf numFmtId="164" fontId="11" fillId="16" borderId="1" xfId="0" applyNumberFormat="1" applyFont="1" applyFill="1" applyBorder="1" applyAlignment="1">
      <x:alignment horizontal="center" vertical="top" wrapText="1"/>
    </x:xf>
    <x:xf numFmtId="164" fontId="9" fillId="16" borderId="3" xfId="0" applyNumberFormat="1" applyFont="1" applyFill="1" applyBorder="1" applyAlignment="1">
      <x:alignment horizontal="center" vertical="top" wrapText="1"/>
    </x:xf>
    <x:xf numFmtId="164" fontId="10" fillId="16" borderId="3" xfId="0" applyNumberFormat="1" applyFont="1" applyFill="1" applyBorder="1" applyAlignment="1">
      <x:alignment horizontal="center" vertical="top" wrapText="1"/>
    </x:xf>
    <x:xf numFmtId="164" fontId="9" fillId="16" borderId="3" xfId="0" applyNumberFormat="1" applyFont="1" applyFill="1" applyBorder="1" applyAlignment="1">
      <x:alignment horizontal="left" vertical="top" wrapText="1"/>
    </x:xf>
    <x:xf numFmtId="164" fontId="11" fillId="16" borderId="3" xfId="0" applyNumberFormat="1" applyFont="1" applyFill="1" applyBorder="1" applyAlignment="1">
      <x:alignment horizontal="center" vertical="top" wrapText="1"/>
    </x:xf>
    <x:xf numFmtId="164" fontId="9" fillId="17" borderId="1" xfId="0" applyNumberFormat="1" applyFont="1" applyFill="1" applyBorder="1" applyAlignment="1">
      <x:alignment horizontal="center" vertical="top" wrapText="1"/>
    </x:xf>
    <x:xf numFmtId="164" fontId="10" fillId="17" borderId="1" xfId="0" applyNumberFormat="1" applyFont="1" applyFill="1" applyBorder="1" applyAlignment="1">
      <x:alignment horizontal="center" vertical="top" wrapText="1"/>
    </x:xf>
    <x:xf numFmtId="164" fontId="9" fillId="17" borderId="1" xfId="0" applyNumberFormat="1" applyFont="1" applyFill="1" applyBorder="1" applyAlignment="1">
      <x:alignment horizontal="left" vertical="top" wrapText="1"/>
    </x:xf>
    <x:xf numFmtId="164" fontId="11" fillId="17" borderId="1" xfId="0" applyNumberFormat="1" applyFont="1" applyFill="1" applyBorder="1" applyAlignment="1">
      <x:alignment horizontal="center" vertical="top" wrapText="1"/>
    </x:xf>
    <x:xf numFmtId="164" fontId="9" fillId="17" borderId="3" xfId="0" applyNumberFormat="1" applyFont="1" applyFill="1" applyBorder="1" applyAlignment="1">
      <x:alignment horizontal="center" vertical="top" wrapText="1"/>
    </x:xf>
    <x:xf numFmtId="164" fontId="10" fillId="17" borderId="3" xfId="0" applyNumberFormat="1" applyFont="1" applyFill="1" applyBorder="1" applyAlignment="1">
      <x:alignment horizontal="center" vertical="top" wrapText="1"/>
    </x:xf>
    <x:xf numFmtId="164" fontId="9" fillId="17" borderId="3" xfId="0" applyNumberFormat="1" applyFont="1" applyFill="1" applyBorder="1" applyAlignment="1">
      <x:alignment horizontal="left" vertical="top" wrapText="1"/>
    </x:xf>
    <x:xf numFmtId="164" fontId="11" fillId="17" borderId="3" xfId="0" applyNumberFormat="1" applyFont="1" applyFill="1" applyBorder="1" applyAlignment="1">
      <x:alignment horizontal="center" vertical="top" wrapText="1"/>
    </x:xf>
    <x:xf numFmtId="164" fontId="9" fillId="18" borderId="1" xfId="0" applyNumberFormat="1" applyFont="1" applyFill="1" applyBorder="1" applyAlignment="1">
      <x:alignment horizontal="left" vertical="top" wrapText="1"/>
    </x:xf>
    <x:xf numFmtId="164" fontId="9" fillId="18" borderId="3" xfId="0" applyNumberFormat="1" applyFont="1" applyFill="1" applyBorder="1" applyAlignment="1">
      <x:alignment horizontal="left" vertical="top" wrapText="1"/>
    </x:xf>
    <x:xf numFmtId="164" fontId="11" fillId="18" borderId="1" xfId="0" applyNumberFormat="1" applyFont="1" applyFill="1" applyBorder="1" applyAlignment="1">
      <x:alignment horizontal="center" vertical="top" wrapText="1"/>
    </x:xf>
    <x:xf numFmtId="164" fontId="11" fillId="18" borderId="3" xfId="0" applyNumberFormat="1" applyFont="1" applyFill="1" applyBorder="1" applyAlignment="1">
      <x:alignment horizontal="center" vertical="top" wrapText="1"/>
    </x:xf>
    <x:xf numFmtId="164" fontId="9" fillId="18" borderId="1" xfId="0" applyNumberFormat="1" applyFont="1" applyFill="1" applyBorder="1" applyAlignment="1">
      <x:alignment horizontal="center" vertical="top" wrapText="1"/>
    </x:xf>
    <x:xf numFmtId="164" fontId="9" fillId="18" borderId="3" xfId="0" applyNumberFormat="1" applyFont="1" applyFill="1" applyBorder="1" applyAlignment="1">
      <x:alignment horizontal="center" vertical="top" wrapText="1"/>
    </x:xf>
    <x:xf numFmtId="200" fontId="11" fillId="18" borderId="1" xfId="0" applyNumberFormat="1" applyFont="1" applyFill="1" applyBorder="1" applyAlignment="1">
      <x:alignment horizontal="center" vertical="top" wrapText="1"/>
    </x:xf>
    <x:xf numFmtId="200" fontId="11" fillId="18" borderId="3" xfId="0" applyNumberFormat="1" applyFont="1" applyFill="1" applyBorder="1" applyAlignment="1">
      <x:alignment horizontal="center" vertical="top" wrapText="1"/>
    </x:xf>
    <x:xf numFmtId="164" fontId="8" fillId="13" borderId="1" xfId="0" applyNumberFormat="1" applyFont="1" applyFill="1" applyBorder="1" applyAlignment="1">
      <x:alignment horizontal="center" vertical="center" wrapText="1"/>
    </x:xf>
    <x:xf numFmtId="164" fontId="15" fillId="13" borderId="1" xfId="0" applyNumberFormat="1" applyFont="1" applyFill="1" applyBorder="1" applyAlignment="1">
      <x:alignment horizontal="center" vertical="center" wrapText="1"/>
    </x:xf>
    <x:xf numFmtId="164" fontId="15" fillId="13" borderId="1" xfId="0" applyNumberFormat="1" applyFont="1" applyFill="1" applyBorder="1" applyAlignment="1">
      <x:alignment horizontal="left" vertical="center" wrapText="1"/>
    </x:xf>
    <x:xf numFmtId="164" fontId="8" fillId="13" borderId="3" xfId="0" applyNumberFormat="1" applyFont="1" applyFill="1" applyBorder="1" applyAlignment="1">
      <x:alignment horizontal="center" vertical="center" wrapText="1"/>
    </x:xf>
    <x:xf numFmtId="164" fontId="15" fillId="13" borderId="3" xfId="0" applyNumberFormat="1" applyFont="1" applyFill="1" applyBorder="1" applyAlignment="1">
      <x:alignment horizontal="center" vertical="center" wrapText="1"/>
    </x:xf>
    <x:xf numFmtId="164" fontId="15" fillId="13" borderId="3" xfId="0" applyNumberFormat="1" applyFont="1" applyFill="1" applyBorder="1" applyAlignment="1">
      <x:alignment horizontal="left" vertical="center" wrapText="1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6" fillId="13" borderId="0" xfId="0" applyNumberFormat="1" applyFont="1" applyFill="1" applyBorder="1" applyAlignment="1">
      <x:alignment horizontal="general" vertical="bottom" wrapText="0"/>
    </x:xf>
    <x:xf numFmtId="164" fontId="16" fillId="13" borderId="0" xfId="0" applyNumberFormat="1" applyFont="1" applyFill="1" applyBorder="1" applyAlignment="1">
      <x:alignment horizontal="general" vertical="bottom" wrapText="1"/>
    </x:xf>
    <x:xf numFmtId="164" fontId="16" fillId="13" borderId="0" xfId="0" applyNumberFormat="1" applyFont="1" applyFill="1" applyBorder="1" applyAlignment="1">
      <x:alignment horizontal="left" vertical="bottom" wrapText="1"/>
    </x:xf>
    <x:xf numFmtId="164" fontId="16" fillId="13" borderId="0" xfId="0" applyNumberFormat="1" applyFont="1" applyFill="1" applyBorder="1" applyAlignment="1">
      <x:alignment horizontal="left" vertical="center" wrapText="1"/>
    </x:xf>
    <x:xf numFmtId="164" fontId="0" fillId="13" borderId="2" xfId="0" applyNumberFormat="1" applyFont="1" applyFill="1" applyBorder="1" applyAlignment="1">
      <x:alignment horizontal="general" vertical="bottom" wrapText="0"/>
    </x:xf>
    <x:xf numFmtId="164" fontId="16" fillId="13" borderId="2" xfId="0" applyNumberFormat="1" applyFont="1" applyFill="1" applyBorder="1" applyAlignment="1">
      <x:alignment horizontal="general" vertical="bottom" wrapText="0"/>
    </x:xf>
    <x:xf numFmtId="164" fontId="16" fillId="13" borderId="2" xfId="0" applyNumberFormat="1" applyFont="1" applyFill="1" applyBorder="1" applyAlignment="1">
      <x:alignment horizontal="general" vertical="bottom" wrapText="1"/>
    </x:xf>
    <x:xf numFmtId="164" fontId="16" fillId="13" borderId="2" xfId="0" applyNumberFormat="1" applyFont="1" applyFill="1" applyBorder="1" applyAlignment="1">
      <x:alignment horizontal="left" vertical="bottom" wrapText="1"/>
    </x:xf>
    <x:xf numFmtId="164" fontId="16" fillId="13" borderId="2" xfId="0" applyNumberFormat="1" applyFont="1" applyFill="1" applyBorder="1" applyAlignment="1">
      <x:alignment horizontal="left" vertical="center" wrapText="1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17" fillId="12" borderId="0" xfId="0" applyNumberFormat="1" applyFont="1" applyFill="1" applyBorder="1" applyAlignment="1">
      <x:alignment horizontal="general" vertical="bottom" wrapText="0"/>
    </x:xf>
    <x:xf numFmtId="164" fontId="17" fillId="12" borderId="0" xfId="0" applyNumberFormat="1" applyFont="1" applyFill="1" applyBorder="1" applyAlignment="1">
      <x:alignment horizontal="general" vertical="bottom" wrapText="1"/>
    </x:xf>
    <x:xf numFmtId="164" fontId="17" fillId="12" borderId="0" xfId="0" applyNumberFormat="1" applyFont="1" applyFill="1" applyBorder="1" applyAlignment="1">
      <x:alignment horizontal="center" vertical="bottom" wrapText="1"/>
    </x:xf>
    <x:xf numFmtId="164" fontId="17" fillId="12" borderId="0" xfId="0" applyNumberFormat="1" applyFont="1" applyFill="1" applyBorder="1" applyAlignment="1">
      <x:alignment horizontal="center" vertical="center" wrapText="1"/>
    </x:xf>
    <x:xf numFmtId="164" fontId="0" fillId="12" borderId="2" xfId="0" applyNumberFormat="1" applyFont="1" applyFill="1" applyBorder="1" applyAlignment="1">
      <x:alignment horizontal="general" vertical="bottom" wrapText="0"/>
    </x:xf>
    <x:xf numFmtId="164" fontId="17" fillId="12" borderId="2" xfId="0" applyNumberFormat="1" applyFont="1" applyFill="1" applyBorder="1" applyAlignment="1">
      <x:alignment horizontal="general" vertical="bottom" wrapText="0"/>
    </x:xf>
    <x:xf numFmtId="164" fontId="17" fillId="12" borderId="2" xfId="0" applyNumberFormat="1" applyFont="1" applyFill="1" applyBorder="1" applyAlignment="1">
      <x:alignment horizontal="general" vertical="bottom" wrapText="1"/>
    </x:xf>
    <x:xf numFmtId="164" fontId="17" fillId="12" borderId="2" xfId="0" applyNumberFormat="1" applyFont="1" applyFill="1" applyBorder="1" applyAlignment="1">
      <x:alignment horizontal="center" vertical="bottom" wrapText="1"/>
    </x:xf>
    <x:xf numFmtId="164" fontId="17" fillId="12" borderId="2" xfId="0" applyNumberFormat="1" applyFont="1" applyFill="1" applyBorder="1" applyAlignment="1">
      <x:alignment horizontal="center" vertical="center" wrapText="1"/>
    </x:xf>
    <x:xf numFmtId="164" fontId="10" fillId="9" borderId="1" xfId="0" applyNumberFormat="1" applyFont="1" applyFill="1" applyBorder="1" applyAlignment="1">
      <x:alignment horizontal="left" vertical="center" wrapText="1"/>
    </x:xf>
    <x:xf numFmtId="165" fontId="11" fillId="9" borderId="1" xfId="0" applyNumberFormat="1" applyFont="1" applyFill="1" applyBorder="1" applyAlignment="1">
      <x:alignment horizontal="center" vertical="center" wrapText="1"/>
    </x:xf>
    <x:xf numFmtId="164" fontId="10" fillId="8" borderId="1" xfId="0" applyNumberFormat="1" applyFont="1" applyFill="1" applyBorder="1" applyAlignment="1">
      <x:alignment horizontal="left" vertical="center" wrapText="1"/>
    </x:xf>
    <x:xf numFmtId="165" fontId="11" fillId="8" borderId="1" xfId="0" applyNumberFormat="1" applyFont="1" applyFill="1" applyBorder="1" applyAlignment="1">
      <x:alignment horizontal="center" vertical="center" wrapText="1"/>
    </x:xf>
    <x:xf numFmtId="164" fontId="10" fillId="9" borderId="1" xfId="0" applyNumberFormat="1" applyFont="1" applyFill="1" applyBorder="1" applyAlignment="1">
      <x:alignment horizontal="left" vertical="top" wrapText="1"/>
    </x:xf>
    <x:xf numFmtId="165" fontId="11" fillId="9" borderId="1" xfId="0" applyNumberFormat="1" applyFont="1" applyFill="1" applyBorder="1" applyAlignment="1">
      <x:alignment horizontal="center" vertical="top" wrapText="1"/>
    </x:xf>
    <x:xf numFmtId="164" fontId="10" fillId="8" borderId="1" xfId="0" applyNumberFormat="1" applyFont="1" applyFill="1" applyBorder="1" applyAlignment="1">
      <x:alignment horizontal="left" vertical="top" wrapText="1"/>
    </x:xf>
    <x:xf numFmtId="165" fontId="11" fillId="8" borderId="1" xfId="0" applyNumberFormat="1" applyFont="1" applyFill="1" applyBorder="1" applyAlignment="1">
      <x:alignment horizontal="center" vertical="top" wrapText="1"/>
    </x:xf>
    <x:xf numFmtId="164" fontId="10" fillId="9" borderId="3" xfId="0" applyNumberFormat="1" applyFont="1" applyFill="1" applyBorder="1" applyAlignment="1">
      <x:alignment horizontal="left" vertical="top" wrapText="1"/>
    </x:xf>
    <x:xf numFmtId="165" fontId="11" fillId="9" borderId="3" xfId="0" applyNumberFormat="1" applyFont="1" applyFill="1" applyBorder="1" applyAlignment="1">
      <x:alignment horizontal="center" vertical="top" wrapText="1"/>
    </x:xf>
    <x:xf numFmtId="164" fontId="10" fillId="8" borderId="3" xfId="0" applyNumberFormat="1" applyFont="1" applyFill="1" applyBorder="1" applyAlignment="1">
      <x:alignment horizontal="left" vertical="top" wrapText="1"/>
    </x:xf>
    <x:xf numFmtId="165" fontId="11" fillId="8" borderId="3" xfId="0" applyNumberFormat="1" applyFont="1" applyFill="1" applyBorder="1" applyAlignment="1">
      <x:alignment horizontal="center" vertical="top" wrapText="1"/>
    </x:xf>
    <x:xf numFmtId="164" fontId="9" fillId="8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8" borderId="1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9" fillId="8" borderId="3" xfId="0" applyNumberFormat="1" applyFont="1" applyFill="1" applyBorder="1" applyAlignment="1">
      <x:alignment horizontal="center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164" fontId="11" fillId="8" borderId="1" xfId="0" applyNumberFormat="1" applyFont="1" applyFill="1" applyBorder="1" applyAlignment="1">
      <x:alignment horizontal="center" vertical="center" wrapText="1"/>
    </x:xf>
    <x:xf numFmtId="166" fontId="9" fillId="8" borderId="1" xfId="0" applyNumberFormat="1" applyFont="1" applyFill="1" applyBorder="1" applyAlignment="1">
      <x:alignment horizontal="center" vertical="center" wrapText="1"/>
    </x:xf>
    <x:xf numFmtId="166" fontId="9" fillId="9" borderId="1" xfId="0" applyNumberFormat="1" applyFont="1" applyFill="1" applyBorder="1" applyAlignment="1">
      <x:alignment horizontal="center" vertical="center" wrapText="1"/>
    </x:xf>
    <x:xf numFmtId="164" fontId="11" fillId="8" borderId="1" xfId="0" applyNumberFormat="1" applyFont="1" applyFill="1" applyBorder="1" applyAlignment="1">
      <x:alignment horizontal="center" vertical="top" wrapText="1"/>
    </x:xf>
    <x:xf numFmtId="166" fontId="9" fillId="8" borderId="1" xfId="0" applyNumberFormat="1" applyFont="1" applyFill="1" applyBorder="1" applyAlignment="1">
      <x:alignment horizontal="center" vertical="top" wrapText="1"/>
    </x:xf>
    <x:xf numFmtId="166" fontId="9" fillId="9" borderId="1" xfId="0" applyNumberFormat="1" applyFont="1" applyFill="1" applyBorder="1" applyAlignment="1">
      <x:alignment horizontal="center" vertical="top" wrapText="1"/>
    </x:xf>
    <x:xf numFmtId="164" fontId="11" fillId="8" borderId="3" xfId="0" applyNumberFormat="1" applyFont="1" applyFill="1" applyBorder="1" applyAlignment="1">
      <x:alignment horizontal="center" vertical="top" wrapText="1"/>
    </x:xf>
    <x:xf numFmtId="166" fontId="9" fillId="8" borderId="3" xfId="0" applyNumberFormat="1" applyFont="1" applyFill="1" applyBorder="1" applyAlignment="1">
      <x:alignment horizontal="center" vertical="top" wrapText="1"/>
    </x:xf>
    <x:xf numFmtId="166" fontId="9" fillId="9" borderId="3" xfId="0" applyNumberFormat="1" applyFont="1" applyFill="1" applyBorder="1" applyAlignment="1">
      <x:alignment horizontal="center" vertical="top" wrapText="1"/>
    </x:xf>
    <x:xf numFmtId="200" fontId="11" fillId="9" borderId="1" xfId="0" applyNumberFormat="1" applyFont="1" applyFill="1" applyBorder="1" applyAlignment="1">
      <x:alignment horizontal="center" vertical="top" wrapText="1"/>
    </x:xf>
    <x:xf numFmtId="200" fontId="11" fillId="8" borderId="1" xfId="0" applyNumberFormat="1" applyFont="1" applyFill="1" applyBorder="1" applyAlignment="1">
      <x:alignment horizontal="center" vertical="top" wrapText="1"/>
    </x:xf>
    <x:xf numFmtId="200" fontId="11" fillId="9" borderId="3" xfId="0" applyNumberFormat="1" applyFont="1" applyFill="1" applyBorder="1" applyAlignment="1">
      <x:alignment horizontal="center" vertical="top" wrapText="1"/>
    </x:xf>
    <x:xf numFmtId="200" fontId="11" fillId="8" borderId="3" xfId="0" applyNumberFormat="1" applyFont="1" applyFill="1" applyBorder="1" applyAlignment="1">
      <x:alignment horizontal="center" vertical="top" wrapText="1"/>
    </x:xf>
    <x:xf numFmtId="201" fontId="9" fillId="8" borderId="1" xfId="0" applyNumberFormat="1" applyFont="1" applyFill="1" applyBorder="1" applyAlignment="1">
      <x:alignment horizontal="center" vertical="top" wrapText="1"/>
    </x:xf>
    <x:xf numFmtId="201" fontId="9" fillId="9" borderId="1" xfId="0" applyNumberFormat="1" applyFont="1" applyFill="1" applyBorder="1" applyAlignment="1">
      <x:alignment horizontal="center" vertical="top" wrapText="1"/>
    </x:xf>
    <x:xf numFmtId="201" fontId="9" fillId="8" borderId="3" xfId="0" applyNumberFormat="1" applyFont="1" applyFill="1" applyBorder="1" applyAlignment="1">
      <x:alignment horizontal="center" vertical="top" wrapText="1"/>
    </x:xf>
    <x:xf numFmtId="201" fontId="9" fillId="9" borderId="3" xfId="0" applyNumberFormat="1" applyFont="1" applyFill="1" applyBorder="1" applyAlignment="1">
      <x:alignment horizontal="center" vertical="top" wrapText="1"/>
    </x:xf>
    <x:xf numFmtId="202" fontId="9" fillId="8" borderId="1" xfId="0" applyNumberFormat="1" applyFont="1" applyFill="1" applyBorder="1" applyAlignment="1">
      <x:alignment horizontal="center" vertical="top" wrapText="1"/>
    </x:xf>
    <x:xf numFmtId="202" fontId="9" fillId="9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horizontal="general" vertical="top" wrapText="1"/>
    </x:xf>
    <x:xf numFmtId="202" fontId="9" fillId="8" borderId="3" xfId="0" applyNumberFormat="1" applyFont="1" applyFill="1" applyBorder="1" applyAlignment="1">
      <x:alignment horizontal="center" vertical="top" wrapText="1"/>
    </x:xf>
    <x:xf numFmtId="202" fontId="9" fillId="9" borderId="3" xfId="0" applyNumberFormat="1" applyFont="1" applyFill="1" applyBorder="1" applyAlignment="1">
      <x:alignment horizontal="center" vertical="top" wrapText="1"/>
    </x:xf>
    <x:xf numFmtId="202" fontId="0" fillId="0" borderId="2" xfId="0" applyNumberFormat="1" applyFont="1" applyFill="1" applyBorder="1" applyAlignment="1">
      <x:alignment horizontal="general" vertical="top" wrapText="1"/>
    </x:xf>
    <x:xf numFmtId="164" fontId="8" fillId="2" borderId="1" xfId="0" applyNumberFormat="1" applyFont="1" applyFill="1" applyBorder="1" applyAlignment="1">
      <x:alignment horizontal="center" vertical="center" wrapText="1"/>
    </x:xf>
    <x:xf numFmtId="164" fontId="7" fillId="2" borderId="1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117A65"/>
      <x:rgbColor rgb="FFCCCCCC"/>
      <x:rgbColor rgb="FF808080"/>
      <x:rgbColor rgb="FF9999FF"/>
      <x:rgbColor rgb="FF993366"/>
      <x:rgbColor rgb="FFFFF3CD"/>
      <x:rgbColor rgb="FFF7F9FC"/>
      <x:rgbColor rgb="FF660066"/>
      <x:rgbColor rgb="FFFF8080"/>
      <x:rgbColor rgb="FF1A56DB"/>
      <x:rgbColor rgb="FFD6E4F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6F0E0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A04000"/>
      <x:rgbColor rgb="FF993366"/>
      <x:rgbColor rgb="FF2E4057"/>
      <x:rgbColor rgb="FF1F2D3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ef47ff6594555" /><Relationship Type="http://schemas.openxmlformats.org/officeDocument/2006/relationships/theme" Target="/xl/theme/theme1.xml" Id="R689685cc13b74c8e" /><Relationship Type="http://schemas.openxmlformats.org/officeDocument/2006/relationships/sharedStrings" Target="/xl/sharedStrings.xml" Id="R45642f040c8c470f" /><Relationship Type="http://schemas.openxmlformats.org/officeDocument/2006/relationships/worksheet" Target="/xl/worksheets/sheet1.xml" Id="Re376eeaf09e3436e" /><Relationship Type="http://schemas.openxmlformats.org/officeDocument/2006/relationships/worksheet" Target="/xl/worksheets/sheet2.xml" Id="Re786ef60d01e496b" /><Relationship Type="http://schemas.openxmlformats.org/officeDocument/2006/relationships/worksheet" Target="/xl/worksheets/sheet3.xml" Id="R7c8880b6fcf7425f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15" hidden="0" customWidth="1"/>
  </x:cols>
  <x:sheetData>
    <x:row r="1" ht="30" hidden="0" customHeight="1">
      <x:c r="A1" s="63" t="str">
        <x:v>RAG Evaluation Experiment - Instructions &amp; Setup Guide</x:v>
      </x:c>
      <x:c r="B1" t="str"/>
    </x:row>
    <x:row r="2" ht="18" hidden="0" customHeight="1">
      <x:c r="A2" s="67" t="str">
        <x:v>Purpose</x:v>
      </x:c>
      <x:c r="B2" t="str"/>
    </x:row>
    <x:row r="3" ht="18" hidden="0" customHeight="1">
      <x:c r="A3" s="72" t="str">
        <x:v>Use this workbook to run the same 50 queries through three evaluation methods: DocMind cosine similarity, RAGAS, and LLM-as-judge. The Query Log is already pre-filled and color-coded by query type.</x:v>
      </x:c>
      <x:c r="B3" t="str"/>
    </x:row>
    <x:row r="4" ht="18" hidden="0" customHeight="1">
      <x:c r="A4" s="67" t="str">
        <x:v>Documents selected</x:v>
      </x:c>
      <x:c r="B4" t="str"/>
    </x:row>
    <x:row r="5" ht="18" hidden="0" customHeight="1">
      <x:c r="A5" s="72" t="str">
        <x:v>Doc A - Technical: 1706.03762v7.pdf, "Attention Is All You Need". Use this for Transformer architecture, attention, training, BLEU, and parsing questions.</x:v>
      </x:c>
      <x:c r="B5" t="str"/>
    </x:row>
    <x:row r="6" ht="18" hidden="0" customHeight="1">
      <x:c r="A6" s="73" t="str">
        <x:v>Doc B - Methodology / evaluation narrative: 2309.15217v2.pdf, "Ragas: Automated Evaluation of Retrieval Augmented Generation". Use this for RAGAS motivation, metrics, prompts, WikiEval, and comparison questions.</x:v>
      </x:c>
      <x:c r="B6" t="str"/>
    </x:row>
    <x:row r="7" ht="18" hidden="0" customHeight="1">
      <x:c r="A7" s="72" t="str">
        <x:v>Doc C - Factual / encyclopedic: Retrieval-augmented generation - Wikipedia.pdf. Use this for RAG definitions, process stages, limitations, chunking, hybrid search, and poisoning questions.</x:v>
      </x:c>
      <x:c r="B7" t="str"/>
    </x:row>
    <x:row r="8" ht="18" hidden="0" customHeight="1">
      <x:c r="A8" s="67" t="str">
        <x:v>Step 1 - Upload all 3 documents into DocMind</x:v>
      </x:c>
      <x:c r="B8" t="str"/>
    </x:row>
    <x:row r="9" ht="18" hidden="0" customHeight="1">
      <x:c r="A9" s="72" t="str">
        <x:v>1. Start your backend from /backend with: source venv/bin/activate &amp;&amp; uvicorn main:app --reload.</x:v>
      </x:c>
      <x:c r="B9" t="str"/>
    </x:row>
    <x:row r="10" ht="18" hidden="0" customHeight="1">
      <x:c r="A10" s="72" t="str">
        <x:v>2. Start your frontend from /rag-frontend with: npm run dev.</x:v>
      </x:c>
      <x:c r="B10" t="str"/>
    </x:row>
    <x:row r="11" ht="18" hidden="0" customHeight="1">
      <x:c r="A11" s="72" t="str">
        <x:v>3. In DocMind, upload all three PDFs above. Wait until each document is indexed and ChromaDB embeddings are generated.</x:v>
      </x:c>
      <x:c r="B11" t="str"/>
    </x:row>
    <x:row r="12" ht="18" hidden="0" customHeight="1">
      <x:c r="A12" s="73" t="str">
        <x:v>4. If DocMind allows filtering by document, activate only the Doc Source shown in column C of Query Log. If not, run against all three documents and keep the retrieved context that DocMind shows.</x:v>
      </x:c>
      <x:c r="B12" t="str"/>
    </x:row>
    <x:row r="13" ht="18" hidden="0" customHeight="1">
      <x:c r="A13" s="67" t="str">
        <x:v>Step 2 - Run DocMind cosine evaluation</x:v>
      </x:c>
      <x:c r="B13" t="str"/>
    </x:row>
    <x:row r="14" ht="18" hidden="0" customHeight="1">
      <x:c r="A14" s="72" t="str">
        <x:v>For each row in Query Log: copy the query text from column D into DocMind. Paste the generated answer into column E and the retrieved top-k context chunks into column F. Then copy DocMind dashboard scores into columns G and H.</x:v>
      </x:c>
      <x:c r="B14" t="str"/>
    </x:row>
    <x:row r="15" ht="18" hidden="0" customHeight="1">
      <x:c r="A15" s="67" t="str">
        <x:v>Step 3 - Run RAGAS in batch after columns D-F are filled</x:v>
      </x:c>
      <x:c r="B15" t="str"/>
    </x:row>
    <x:row r="16" ht="18" hidden="0" customHeight="1">
      <x:c r="A16" s="72" t="str">
        <x:v>Install if needed: pip install ragas datasets pandas openpyxl. RAGAS typically requires an LLM provider key, for example OPENAI_API_KEY, depending on your local setup.</x:v>
      </x:c>
      <x:c r="B16" t="str"/>
    </x:row>
    <x:row r="17" ht="18" hidden="0" customHeight="1">
      <x:c r="A17" s="67" t="str">
        <x:v>RAGAS batch script</x:v>
      </x:c>
      <x:c r="B17" t="str"/>
    </x:row>
    <x:row r="18" ht="165" hidden="0" customHeight="1">
      <x:c r="A18" s="76" t="str">
        <x:v>import pandas as pd
from datasets import Dataset
from ragas import evaluate
from ragas.metrics import faithfulness, answer_relevancy
xlsx = 'RAG_Eval_Experiment_Sheet_completed.xlsx'
df = pd.read_excel(xlsx, sheet_name='Query Log', header=2)
df = df[df['#'].notna()].copy()
# Split retrieved context by your separator if you used one. If not, keep it as one context item.
def to_context_list(x):
    if pd.isna(x):
        return []
    text = str(x)
    parts = [p.strip() for p in text.split('
---
') if p.strip()]
    return parts if parts else [text]
data = {
    'question': df['Query Text'].astype(str).tolist(),
    'answer': df['Generated Answer
(paste from DocMind)'].astype(str).tolist(),
    'contexts': df['Retrieved Context
(top-k chunks)'].apply(to_context_list).tolist(),
}
dataset = Dataset.from_dict(data)
results = evaluate(dataset, metrics=[faithfulness, answer_relevancy])
out = results.to_pandas()
out[['faithfulness', 'answer_relevancy']].to_csv('ragas_scores.csv', index=False)
print(out[['faithfulness', 'answer_relevancy']])</x:v>
      </x:c>
      <x:c r="B18" t="str"/>
    </x:row>
    <x:row r="19" ht="18" hidden="0" customHeight="1">
      <x:c r="A19" s="67" t="str">
        <x:v>Paste RAGAS outputs into columns I and J</x:v>
      </x:c>
      <x:c r="B19" t="str"/>
    </x:row>
    <x:row r="20" ht="18" hidden="0" customHeight="1">
      <x:c r="A20" s="72" t="str">
        <x:v>Paste RAGAS faithfulness into column I and answer_relevancy into column J for Q1-Q50.</x:v>
      </x:c>
      <x:c r="B20" t="str"/>
    </x:row>
    <x:row r="21" ht="18" hidden="0" customHeight="1">
      <x:c r="A21" s="67" t="str">
        <x:v>Step 4 - Run LLM-as-judge</x:v>
      </x:c>
      <x:c r="B21" t="str"/>
    </x:row>
    <x:row r="22" ht="18" hidden="0" customHeight="1">
      <x:c r="A22" s="72" t="str">
        <x:v>For each query, judge the generated answer against the retrieved context and return only JSON with faithfulness and relevance. Divide scores by 10 before pasting into columns K and L.</x:v>
      </x:c>
      <x:c r="B22" t="str"/>
    </x:row>
    <x:row r="23" ht="18" hidden="0" customHeight="1">
      <x:c r="A23" s="67" t="str">
        <x:v>LLM-as-judge prompt</x:v>
      </x:c>
      <x:c r="B23" t="str"/>
    </x:row>
    <x:row r="24" ht="18" hidden="0" customHeight="1">
      <x:c r="A24" s="72" t="str">
        <x:v>You are an evaluator for a RAG system.
QUERY: {query}
RETRIEVED CONTEXT: {context}
GENERATED ANSWER: {answer}
Rate the answer on two dimensions:
1. Faithfulness (0-10): Is the answer fully supported by the retrieved context?
   10 = every claim is grounded in context, 0 = answer ignores or contradicts context.
2. Relevance (0-10): Does the answer directly address the query?
   10 = fully addresses the question, 0 = completely off-topic.
Return ONLY valid JSON: {"faithfulness": X, "relevance": Y}</x:v>
      </x:c>
      <x:c r="B24" t="str"/>
    </x:row>
    <x:row r="25" ht="18" hidden="0" customHeight="1">
      <x:c r="A25" s="67" t="str">
        <x:v>Step 5 - Tag failures consistently</x:v>
      </x:c>
      <x:c r="B25" t="str"/>
    </x:row>
    <x:row r="26" ht="145" hidden="0" customHeight="1">
      <x:c r="A26" s="76" t="str">
        <x:v>Use column M for Pass/Fail. In column N, include a short tag such as Retrieval miss, Too vague, Answer ignored context, Paraphrase mismatch, Multi-hop divergence, Context drift, Hallucination missed, or Other. Table V counts these tags automatically.</x:v>
      </x:c>
      <x:c r="B26" t="str"/>
    </x:row>
    <x:row r="27" ht="18" hidden="0" customHeight="1">
      <x:c r="A27" s="67" t="str">
        <x:v>Step 6 - Use Analysis sheet</x:v>
      </x:c>
      <x:c r="B27" t="str"/>
    </x:row>
    <x:row r="28" ht="18" hidden="0" customHeight="1">
      <x:c r="A28" s="72" t="str">
        <x:v>Once columns G-L are filled for all 50 rows, Sheet 3 auto-calculates Tables II and III for the paper, plus cost comparison and failure mode counts.</x:v>
      </x:c>
      <x:c r="B28" t="str"/>
    </x:row>
    <x:row r="29" ht="18" hidden="0" customHeight="1">
      <x:c r="A29" s="67" t="str"/>
      <x:c r="B29" t="str"/>
    </x:row>
    <x:row r="30" ht="18" hidden="0" customHeight="1">
      <x:c r="A30" s="3" t="str"/>
      <x:c r="B30" t="str"/>
    </x:row>
    <x:row r="31" ht="18" hidden="0" customHeight="1">
      <x:c r="A31" s="3" t="str"/>
      <x:c r="B31" t="str"/>
    </x:row>
    <x:row r="32" ht="18" hidden="0" customHeight="1">
      <x:c r="A32" s="3" t="str"/>
      <x:c r="B32" t="str"/>
    </x:row>
    <x:row r="33" ht="18" hidden="0" customHeight="1">
      <x:c r="A33" s="3" t="str"/>
      <x:c r="B33" t="str"/>
    </x:row>
    <x:row r="34" ht="18" hidden="0" customHeight="1">
      <x:c r="A34" s="3" t="str"/>
      <x:c r="B34" t="str"/>
    </x:row>
    <x:row r="35" ht="18" hidden="0" customHeight="1">
      <x:c r="A35" s="3" t="str"/>
      <x:c r="B35" t="str"/>
    </x:row>
    <x:row r="36" ht="18" hidden="0" customHeight="1">
      <x:c r="A36" s="3" t="str"/>
      <x:c r="B36" t="str"/>
    </x:row>
    <x:row r="37" ht="18" hidden="0" customHeight="1">
      <x:c r="A37" s="3" t="str"/>
      <x:c r="B37" t="str"/>
    </x:row>
    <x:row r="38" ht="18" hidden="0" customHeight="1">
      <x:c r="A38" s="2" t="str"/>
      <x:c r="B38" t="str"/>
    </x:row>
    <x:row r="39" ht="18" hidden="0" customHeight="1">
      <x:c r="A39" s="3" t="str"/>
      <x:c r="B39" t="str"/>
    </x:row>
    <x:row r="40" ht="18" hidden="0" customHeight="1">
      <x:c r="A40" s="3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" hidden="0" customWidth="1"/>
    <x:col min="2" max="2" width="14" hidden="0" customWidth="1"/>
    <x:col min="3" max="3" width="12" hidden="0" customWidth="1"/>
    <x:col min="4" max="4" width="55" hidden="0" customWidth="1"/>
    <x:col min="5" max="6" width="54" hidden="0" customWidth="1"/>
    <x:col min="7" max="12" width="12" hidden="0" customWidth="1"/>
    <x:col min="13" max="13" width="12" hidden="0" customWidth="1"/>
    <x:col min="14" max="14" width="28" hidden="0" customWidth="1"/>
    <x:col min="5" max="5" width="42" hidden="0" customWidth="1"/>
    <x:col min="6" max="6" width="55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30" hidden="0" customHeight="1">
      <x:c r="A1" s="63" t="str">
        <x:v>RAG Evaluation Experiment - Query Log (50 Queries)</x:v>
      </x:c>
      <x:c r="B1" s="63" t="str"/>
      <x:c r="C1" s="63" t="str"/>
      <x:c r="D1" s="63" t="str"/>
      <x:c r="E1" s="63" t="str"/>
      <x:c r="F1" s="63" t="str"/>
      <x:c r="G1" s="63" t="str"/>
      <x:c r="H1" s="63" t="str"/>
      <x:c r="I1" s="63" t="str"/>
      <x:c r="J1" s="63" t="str"/>
      <x:c r="K1" s="63" t="str"/>
      <x:c r="L1" s="63" t="str"/>
      <x:c r="M1" s="63" t="str"/>
      <x:c r="N1" s="63" t="str"/>
    </x:row>
    <x:row r="2" ht="21.75" hidden="0" customHeight="1">
      <x:c r="A2" s="83" t="str"/>
      <x:c r="B2" s="83" t="str"/>
      <x:c r="C2" s="83" t="str"/>
      <x:c r="D2" s="83" t="str"/>
      <x:c r="E2" s="83" t="str"/>
      <x:c r="F2" s="83" t="str"/>
      <x:c r="G2" s="83" t="str">
        <x:v>Method A - Cosine Similarity</x:v>
      </x:c>
      <x:c r="H2" s="83" t="str"/>
      <x:c r="I2" s="83" t="str">
        <x:v>Method B - RAGAS</x:v>
      </x:c>
      <x:c r="J2" s="83" t="str"/>
      <x:c r="K2" s="83" t="str">
        <x:v>Method C - LLM-as-Judge</x:v>
      </x:c>
      <x:c r="L2" s="83" t="str"/>
      <x:c r="M2" s="83" t="str"/>
      <x:c r="N2" s="83" t="str"/>
    </x:row>
    <x:row r="3" ht="36" hidden="0" customHeight="1">
      <x:c r="A3" s="86" t="str">
        <x:v>#</x:v>
      </x:c>
      <x:c r="B3" s="86" t="str">
        <x:v>Query Type</x:v>
      </x:c>
      <x:c r="C3" s="86" t="str">
        <x:v>Doc Source</x:v>
      </x:c>
      <x:c r="D3" s="86" t="str">
        <x:v>Query Text</x:v>
      </x:c>
      <x:c r="E3" s="86" t="str">
        <x:v>Generated Answer
(paste from DocMind)</x:v>
      </x:c>
      <x:c r="F3" s="86" t="str">
        <x:v>Retrieved Context
(top-k chunks)</x:v>
      </x:c>
      <x:c r="G3" s="86" t="str">
        <x:v>Faithfulness
(0-1)</x:v>
      </x:c>
      <x:c r="H3" s="86" t="str">
        <x:v>Relevance
(0-1)</x:v>
      </x:c>
      <x:c r="I3" s="86" t="str">
        <x:v>Faithfulness
(0-1)</x:v>
      </x:c>
      <x:c r="J3" s="86" t="str">
        <x:v>Answer Relevancy
(0-1)</x:v>
      </x:c>
      <x:c r="K3" s="86" t="str">
        <x:v>Faithfulness
(0-1)</x:v>
      </x:c>
      <x:c r="L3" s="86" t="str">
        <x:v>Relevance
(0-1)</x:v>
      </x:c>
      <x:c r="M3" s="86" t="str">
        <x:v>Pass / Fail</x:v>
      </x:c>
      <x:c r="N3" s="86" t="str">
        <x:v>Notes / Failure Mode</x:v>
      </x:c>
    </x:row>
    <x:row r="4" ht="48" hidden="0" customHeight="1">
      <x:c r="A4" s="127" t="n">
        <x:v>1</x:v>
      </x:c>
      <x:c r="B4" s="128" t="str">
        <x:v>Factual</x:v>
      </x:c>
      <x:c r="C4" s="127" t="str">
        <x:v>Doc A</x:v>
      </x:c>
      <x:c r="D4" s="129" t="str">
        <x:v>What network architecture does "Attention Is All You Need" introduce?</x:v>
      </x:c>
      <x:c r="E4" s="151" t="str"/>
      <x:c r="F4" s="151" t="str"/>
      <x:c r="G4" s="157" t="str"/>
      <x:c r="H4" s="157" t="str"/>
      <x:c r="I4" s="157" t="str"/>
      <x:c r="J4" s="157" t="str"/>
      <x:c r="K4" s="157" t="str"/>
      <x:c r="L4" s="157" t="str"/>
      <x:c r="M4" s="155" t="str"/>
      <x:c r="N4" s="151" t="str"/>
    </x:row>
    <x:row r="5" ht="48" hidden="0" customHeight="1">
      <x:c r="A5" s="127" t="n">
        <x:v>2</x:v>
      </x:c>
      <x:c r="B5" s="128" t="str">
        <x:v>Factual</x:v>
      </x:c>
      <x:c r="C5" s="127" t="str">
        <x:v>Doc A</x:v>
      </x:c>
      <x:c r="D5" s="129" t="str">
        <x:v>Which recurrent or convolutional components does the Transformer dispense with?</x:v>
      </x:c>
      <x:c r="E5" s="151" t="str"/>
      <x:c r="F5" s="151" t="str"/>
      <x:c r="G5" s="157" t="str"/>
      <x:c r="H5" s="157" t="str"/>
      <x:c r="I5" s="157" t="str"/>
      <x:c r="J5" s="157" t="str"/>
      <x:c r="K5" s="157" t="str"/>
      <x:c r="L5" s="157" t="str"/>
      <x:c r="M5" s="155" t="str"/>
      <x:c r="N5" s="151" t="str"/>
    </x:row>
    <x:row r="6" ht="48" hidden="0" customHeight="1">
      <x:c r="A6" s="127" t="n">
        <x:v>3</x:v>
      </x:c>
      <x:c r="B6" s="128" t="str">
        <x:v>Factual</x:v>
      </x:c>
      <x:c r="C6" s="127" t="str">
        <x:v>Doc A</x:v>
      </x:c>
      <x:c r="D6" s="129" t="str">
        <x:v>What BLEU score did the Transformer big model achieve on WMT 2014 English-to-German?</x:v>
      </x:c>
      <x:c r="E6" s="151" t="str"/>
      <x:c r="F6" s="151" t="str"/>
      <x:c r="G6" s="157" t="str"/>
      <x:c r="H6" s="157" t="str"/>
      <x:c r="I6" s="157" t="str"/>
      <x:c r="J6" s="157" t="str"/>
      <x:c r="K6" s="157" t="str"/>
      <x:c r="L6" s="157" t="str"/>
      <x:c r="M6" s="155" t="str"/>
      <x:c r="N6" s="151" t="str"/>
    </x:row>
    <x:row r="7" ht="48" hidden="0" customHeight="1">
      <x:c r="A7" s="127" t="n">
        <x:v>4</x:v>
      </x:c>
      <x:c r="B7" s="128" t="str">
        <x:v>Factual</x:v>
      </x:c>
      <x:c r="C7" s="127" t="str">
        <x:v>Doc A</x:v>
      </x:c>
      <x:c r="D7" s="129" t="str">
        <x:v>How many identical layers are used in the Transformer encoder stack?</x:v>
      </x:c>
      <x:c r="E7" s="151" t="str"/>
      <x:c r="F7" s="151" t="str"/>
      <x:c r="G7" s="157" t="str"/>
      <x:c r="H7" s="157" t="str"/>
      <x:c r="I7" s="157" t="str"/>
      <x:c r="J7" s="157" t="str"/>
      <x:c r="K7" s="157" t="str"/>
      <x:c r="L7" s="157" t="str"/>
      <x:c r="M7" s="155" t="str"/>
      <x:c r="N7" s="151" t="str"/>
    </x:row>
    <x:row r="8" ht="48" hidden="0" customHeight="1">
      <x:c r="A8" s="127" t="n">
        <x:v>5</x:v>
      </x:c>
      <x:c r="B8" s="128" t="str">
        <x:v>Factual</x:v>
      </x:c>
      <x:c r="C8" s="127" t="str">
        <x:v>Doc A</x:v>
      </x:c>
      <x:c r="D8" s="129" t="str">
        <x:v>What are the two sub-layers in each Transformer encoder layer?</x:v>
      </x:c>
      <x:c r="E8" s="151" t="str"/>
      <x:c r="F8" s="151" t="str"/>
      <x:c r="G8" s="157" t="str"/>
      <x:c r="H8" s="157" t="str"/>
      <x:c r="I8" s="157" t="str"/>
      <x:c r="J8" s="157" t="str"/>
      <x:c r="K8" s="157" t="str"/>
      <x:c r="L8" s="157" t="str"/>
      <x:c r="M8" s="155" t="str"/>
      <x:c r="N8" s="151" t="str"/>
    </x:row>
    <x:row r="9" ht="48" hidden="0" customHeight="1">
      <x:c r="A9" s="127" t="n">
        <x:v>6</x:v>
      </x:c>
      <x:c r="B9" s="128" t="str">
        <x:v>Factual</x:v>
      </x:c>
      <x:c r="C9" s="127" t="str">
        <x:v>Doc A</x:v>
      </x:c>
      <x:c r="D9" s="129" t="str">
        <x:v>What scaling factor is applied in scaled dot-product attention?</x:v>
      </x:c>
      <x:c r="E9" s="151" t="str"/>
      <x:c r="F9" s="151" t="str"/>
      <x:c r="G9" s="157" t="str"/>
      <x:c r="H9" s="157" t="str"/>
      <x:c r="I9" s="157" t="str"/>
      <x:c r="J9" s="157" t="str"/>
      <x:c r="K9" s="157" t="str"/>
      <x:c r="L9" s="157" t="str"/>
      <x:c r="M9" s="155" t="str"/>
      <x:c r="N9" s="151" t="str"/>
    </x:row>
    <x:row r="10" ht="48" hidden="0" customHeight="1">
      <x:c r="A10" s="127" t="n">
        <x:v>7</x:v>
      </x:c>
      <x:c r="B10" s="128" t="str">
        <x:v>Factual</x:v>
      </x:c>
      <x:c r="C10" s="127" t="str">
        <x:v>Doc A</x:v>
      </x:c>
      <x:c r="D10" s="129" t="str">
        <x:v>How many attention heads are used in the base Transformer model?</x:v>
      </x:c>
      <x:c r="E10" s="151" t="str"/>
      <x:c r="F10" s="151" t="str"/>
      <x:c r="G10" s="157" t="str"/>
      <x:c r="H10" s="157" t="str"/>
      <x:c r="I10" s="157" t="str"/>
      <x:c r="J10" s="157" t="str"/>
      <x:c r="K10" s="157" t="str"/>
      <x:c r="L10" s="157" t="str"/>
      <x:c r="M10" s="155" t="str"/>
      <x:c r="N10" s="151" t="str"/>
    </x:row>
    <x:row r="11" ht="48" hidden="0" customHeight="1">
      <x:c r="A11" s="127" t="n">
        <x:v>8</x:v>
      </x:c>
      <x:c r="B11" s="128" t="str">
        <x:v>Factual</x:v>
      </x:c>
      <x:c r="C11" s="127" t="str">
        <x:v>Doc A</x:v>
      </x:c>
      <x:c r="D11" s="129" t="str">
        <x:v>What optimizer and beta values are used during Transformer training?</x:v>
      </x:c>
      <x:c r="E11" s="151" t="str"/>
      <x:c r="F11" s="151" t="str"/>
      <x:c r="G11" s="157" t="str"/>
      <x:c r="H11" s="157" t="str"/>
      <x:c r="I11" s="157" t="str"/>
      <x:c r="J11" s="157" t="str"/>
      <x:c r="K11" s="157" t="str"/>
      <x:c r="L11" s="157" t="str"/>
      <x:c r="M11" s="155" t="str"/>
      <x:c r="N11" s="151" t="str"/>
    </x:row>
    <x:row r="12" ht="48" hidden="0" customHeight="1">
      <x:c r="A12" s="127" t="n">
        <x:v>9</x:v>
      </x:c>
      <x:c r="B12" s="128" t="str">
        <x:v>Factual</x:v>
      </x:c>
      <x:c r="C12" s="127" t="str">
        <x:v>Doc A</x:v>
      </x:c>
      <x:c r="D12" s="129" t="str">
        <x:v>How many warmup steps are used in the Transformer learning-rate schedule?</x:v>
      </x:c>
      <x:c r="E12" s="151" t="str"/>
      <x:c r="F12" s="151" t="str"/>
      <x:c r="G12" s="157" t="str"/>
      <x:c r="H12" s="157" t="str"/>
      <x:c r="I12" s="157" t="str"/>
      <x:c r="J12" s="157" t="str"/>
      <x:c r="K12" s="157" t="str"/>
      <x:c r="L12" s="157" t="str"/>
      <x:c r="M12" s="155" t="str"/>
      <x:c r="N12" s="151" t="str"/>
    </x:row>
    <x:row r="13" ht="48" hidden="0" customHeight="1">
      <x:c r="A13" s="127" t="n">
        <x:v>10</x:v>
      </x:c>
      <x:c r="B13" s="128" t="str">
        <x:v>Factual</x:v>
      </x:c>
      <x:c r="C13" s="127" t="str">
        <x:v>Doc A</x:v>
      </x:c>
      <x:c r="D13" s="129" t="str">
        <x:v>What F1 score did the semi-supervised 4-layer Transformer achieve on WSJ Section 23 parsing?</x:v>
      </x:c>
      <x:c r="E13" s="151" t="str"/>
      <x:c r="F13" s="151" t="str"/>
      <x:c r="G13" s="157" t="str"/>
      <x:c r="H13" s="157" t="str"/>
      <x:c r="I13" s="157" t="str"/>
      <x:c r="J13" s="157" t="str"/>
      <x:c r="K13" s="157" t="str"/>
      <x:c r="L13" s="157" t="str"/>
      <x:c r="M13" s="155" t="str"/>
      <x:c r="N13" s="151" t="str"/>
    </x:row>
    <x:row r="14" ht="48" hidden="0" customHeight="1">
      <x:c r="A14" s="127" t="n">
        <x:v>11</x:v>
      </x:c>
      <x:c r="B14" s="128" t="str">
        <x:v>Factual</x:v>
      </x:c>
      <x:c r="C14" s="127" t="str">
        <x:v>Doc B</x:v>
      </x:c>
      <x:c r="D14" s="129" t="str">
        <x:v>What does RAGAS stand for?</x:v>
      </x:c>
      <x:c r="E14" s="151" t="str"/>
      <x:c r="F14" s="151" t="str"/>
      <x:c r="G14" s="157" t="str"/>
      <x:c r="H14" s="157" t="str"/>
      <x:c r="I14" s="157" t="str"/>
      <x:c r="J14" s="157" t="str"/>
      <x:c r="K14" s="157" t="str"/>
      <x:c r="L14" s="157" t="str"/>
      <x:c r="M14" s="155" t="str"/>
      <x:c r="N14" s="151" t="str"/>
    </x:row>
    <x:row r="15" ht="48" hidden="0" customHeight="1">
      <x:c r="A15" s="127" t="n">
        <x:v>12</x:v>
      </x:c>
      <x:c r="B15" s="128" t="str">
        <x:v>Factual</x:v>
      </x:c>
      <x:c r="C15" s="127" t="str">
        <x:v>Doc B</x:v>
      </x:c>
      <x:c r="D15" s="129" t="str">
        <x:v>What three RAG quality aspects does the RAGAS paper focus on?</x:v>
      </x:c>
      <x:c r="E15" s="151" t="str"/>
      <x:c r="F15" s="151" t="str"/>
      <x:c r="G15" s="157" t="str"/>
      <x:c r="H15" s="157" t="str"/>
      <x:c r="I15" s="157" t="str"/>
      <x:c r="J15" s="157" t="str"/>
      <x:c r="K15" s="157" t="str"/>
      <x:c r="L15" s="157" t="str"/>
      <x:c r="M15" s="155" t="str"/>
      <x:c r="N15" s="151" t="str"/>
    </x:row>
    <x:row r="16" ht="48" hidden="0" customHeight="1">
      <x:c r="A16" s="127" t="n">
        <x:v>13</x:v>
      </x:c>
      <x:c r="B16" s="128" t="str">
        <x:v>Factual</x:v>
      </x:c>
      <x:c r="C16" s="127" t="str">
        <x:v>Doc B</x:v>
      </x:c>
      <x:c r="D16" s="129" t="str">
        <x:v>Which dataset did the RAGAS authors create for evaluation?</x:v>
      </x:c>
      <x:c r="E16" s="151" t="str"/>
      <x:c r="F16" s="151" t="str"/>
      <x:c r="G16" s="157" t="str"/>
      <x:c r="H16" s="157" t="str"/>
      <x:c r="I16" s="157" t="str"/>
      <x:c r="J16" s="157" t="str"/>
      <x:c r="K16" s="157" t="str"/>
      <x:c r="L16" s="157" t="str"/>
      <x:c r="M16" s="155" t="str"/>
      <x:c r="N16" s="151" t="str"/>
    </x:row>
    <x:row r="17" ht="48" hidden="0" customHeight="1">
      <x:c r="A17" s="127" t="n">
        <x:v>14</x:v>
      </x:c>
      <x:c r="B17" s="128" t="str">
        <x:v>Factual</x:v>
      </x:c>
      <x:c r="C17" s="127" t="str">
        <x:v>Doc B</x:v>
      </x:c>
      <x:c r="D17" s="129" t="str">
        <x:v>How many Wikipedia pages were selected to construct WikiEval?</x:v>
      </x:c>
      <x:c r="E17" s="151" t="str"/>
      <x:c r="F17" s="151" t="str"/>
      <x:c r="G17" s="157" t="str"/>
      <x:c r="H17" s="157" t="str"/>
      <x:c r="I17" s="157" t="str"/>
      <x:c r="J17" s="157" t="str"/>
      <x:c r="K17" s="157" t="str"/>
      <x:c r="L17" s="157" t="str"/>
      <x:c r="M17" s="155" t="str"/>
      <x:c r="N17" s="151" t="str"/>
    </x:row>
    <x:row r="18" ht="48" hidden="0" customHeight="1">
      <x:c r="A18" s="127" t="n">
        <x:v>15</x:v>
      </x:c>
      <x:c r="B18" s="128" t="str">
        <x:v>Factual</x:v>
      </x:c>
      <x:c r="C18" s="127" t="str">
        <x:v>Doc B</x:v>
      </x:c>
      <x:c r="D18" s="129" t="str">
        <x:v>What model did the RAGAS implementation use for prompting in the paper experiments?</x:v>
      </x:c>
      <x:c r="E18" s="151" t="str"/>
      <x:c r="F18" s="151" t="str"/>
      <x:c r="G18" s="157" t="str"/>
      <x:c r="H18" s="157" t="str"/>
      <x:c r="I18" s="157" t="str"/>
      <x:c r="J18" s="157" t="str"/>
      <x:c r="K18" s="157" t="str"/>
      <x:c r="L18" s="157" t="str"/>
      <x:c r="M18" s="155" t="str"/>
      <x:c r="N18" s="151" t="str"/>
    </x:row>
    <x:row r="19" ht="48" hidden="0" customHeight="1">
      <x:c r="A19" s="127" t="n">
        <x:v>16</x:v>
      </x:c>
      <x:c r="B19" s="128" t="str">
        <x:v>Factual</x:v>
      </x:c>
      <x:c r="C19" s="127" t="str">
        <x:v>Doc B</x:v>
      </x:c>
      <x:c r="D19" s="129" t="str">
        <x:v>What are the RAGAS Table 1 agreement scores for faithfulness and answer relevance?</x:v>
      </x:c>
      <x:c r="E19" s="151" t="str"/>
      <x:c r="F19" s="151" t="str"/>
      <x:c r="G19" s="157" t="str"/>
      <x:c r="H19" s="157" t="str"/>
      <x:c r="I19" s="157" t="str"/>
      <x:c r="J19" s="157" t="str"/>
      <x:c r="K19" s="157" t="str"/>
      <x:c r="L19" s="157" t="str"/>
      <x:c r="M19" s="155" t="str"/>
      <x:c r="N19" s="151" t="str"/>
    </x:row>
    <x:row r="20" ht="48" hidden="0" customHeight="1">
      <x:c r="A20" s="127" t="n">
        <x:v>17</x:v>
      </x:c>
      <x:c r="B20" s="128" t="str">
        <x:v>Factual</x:v>
      </x:c>
      <x:c r="C20" s="127" t="str">
        <x:v>Doc C</x:v>
      </x:c>
      <x:c r="D20" s="129" t="str">
        <x:v>What is retrieval-augmented generation according to the Wikipedia article?</x:v>
      </x:c>
      <x:c r="E20" s="151" t="str"/>
      <x:c r="F20" s="151" t="str"/>
      <x:c r="G20" s="157" t="str"/>
      <x:c r="H20" s="157" t="str"/>
      <x:c r="I20" s="157" t="str"/>
      <x:c r="J20" s="157" t="str"/>
      <x:c r="K20" s="157" t="str"/>
      <x:c r="L20" s="157" t="str"/>
      <x:c r="M20" s="155" t="str"/>
      <x:c r="N20" s="151" t="str"/>
    </x:row>
    <x:row r="21" ht="48" hidden="0" customHeight="1">
      <x:c r="A21" s="127" t="n">
        <x:v>18</x:v>
      </x:c>
      <x:c r="B21" s="128" t="str">
        <x:v>Factual</x:v>
      </x:c>
      <x:c r="C21" s="127" t="str">
        <x:v>Doc C</x:v>
      </x:c>
      <x:c r="D21" s="129" t="str">
        <x:v>What are the typical data types RAG can be used on?</x:v>
      </x:c>
      <x:c r="E21" s="151" t="str"/>
      <x:c r="F21" s="151" t="str"/>
      <x:c r="G21" s="157" t="str"/>
      <x:c r="H21" s="157" t="str"/>
      <x:c r="I21" s="157" t="str"/>
      <x:c r="J21" s="157" t="str"/>
      <x:c r="K21" s="157" t="str"/>
      <x:c r="L21" s="157" t="str"/>
      <x:c r="M21" s="155" t="str"/>
      <x:c r="N21" s="151" t="str"/>
    </x:row>
    <x:row r="22" ht="48" hidden="0" customHeight="1">
      <x:c r="A22" s="127" t="n">
        <x:v>19</x:v>
      </x:c>
      <x:c r="B22" s="128" t="str">
        <x:v>Factual</x:v>
      </x:c>
      <x:c r="C22" s="127" t="str">
        <x:v>Doc C</x:v>
      </x:c>
      <x:c r="D22" s="129" t="str">
        <x:v>What are the three chunking strategies listed in the Wikipedia article?</x:v>
      </x:c>
      <x:c r="E22" s="151" t="str"/>
      <x:c r="F22" s="151" t="str"/>
      <x:c r="G22" s="157" t="str"/>
      <x:c r="H22" s="157" t="str"/>
      <x:c r="I22" s="157" t="str"/>
      <x:c r="J22" s="157" t="str"/>
      <x:c r="K22" s="157" t="str"/>
      <x:c r="L22" s="157" t="str"/>
      <x:c r="M22" s="155" t="str"/>
      <x:c r="N22" s="151" t="str"/>
    </x:row>
    <x:row r="23" ht="48" hidden="0" customHeight="1">
      <x:c r="A23" s="127" t="n">
        <x:v>20</x:v>
      </x:c>
      <x:c r="B23" s="128" t="str">
        <x:v>Factual</x:v>
      </x:c>
      <x:c r="C23" s="127" t="str">
        <x:v>Doc C</x:v>
      </x:c>
      <x:c r="D23" s="129" t="str">
        <x:v>What limitation does the article describe under RAG poisoning?</x:v>
      </x:c>
      <x:c r="E23" s="151" t="str"/>
      <x:c r="F23" s="151" t="str"/>
      <x:c r="G23" s="157" t="str"/>
      <x:c r="H23" s="157" t="str"/>
      <x:c r="I23" s="157" t="str"/>
      <x:c r="J23" s="157" t="str"/>
      <x:c r="K23" s="157" t="str"/>
      <x:c r="L23" s="157" t="str"/>
      <x:c r="M23" s="155" t="str"/>
      <x:c r="N23" s="151" t="str"/>
    </x:row>
    <x:row r="24" ht="48" hidden="0" customHeight="1">
      <x:c r="A24" s="135" t="n">
        <x:v>21</x:v>
      </x:c>
      <x:c r="B24" s="136" t="str">
        <x:v>Paraphrased</x:v>
      </x:c>
      <x:c r="C24" s="135" t="str">
        <x:v>Doc A</x:v>
      </x:c>
      <x:c r="D24" s="137" t="str">
        <x:v>In your own words, what problem with sequential models motivated the Transformer?</x:v>
      </x:c>
      <x:c r="E24" s="151" t="str"/>
      <x:c r="F24" s="151" t="str"/>
      <x:c r="G24" s="157" t="str"/>
      <x:c r="H24" s="157" t="str"/>
      <x:c r="I24" s="157" t="str"/>
      <x:c r="J24" s="157" t="str"/>
      <x:c r="K24" s="157" t="str"/>
      <x:c r="L24" s="157" t="str"/>
      <x:c r="M24" s="155" t="str"/>
      <x:c r="N24" s="151" t="str"/>
    </x:row>
    <x:row r="25" ht="48" hidden="0" customHeight="1">
      <x:c r="A25" s="135" t="n">
        <x:v>22</x:v>
      </x:c>
      <x:c r="B25" s="136" t="str">
        <x:v>Paraphrased</x:v>
      </x:c>
      <x:c r="C25" s="135" t="str">
        <x:v>Doc A</x:v>
      </x:c>
      <x:c r="D25" s="137" t="str">
        <x:v>How does the paper explain why self-attention helps with long-range dependencies?</x:v>
      </x:c>
      <x:c r="E25" s="151" t="str"/>
      <x:c r="F25" s="151" t="str"/>
      <x:c r="G25" s="157" t="str"/>
      <x:c r="H25" s="157" t="str"/>
      <x:c r="I25" s="157" t="str"/>
      <x:c r="J25" s="157" t="str"/>
      <x:c r="K25" s="157" t="str"/>
      <x:c r="L25" s="157" t="str"/>
      <x:c r="M25" s="155" t="str"/>
      <x:c r="N25" s="151" t="str"/>
    </x:row>
    <x:row r="26" ht="48" hidden="0" customHeight="1">
      <x:c r="A26" s="135" t="n">
        <x:v>23</x:v>
      </x:c>
      <x:c r="B26" s="136" t="str">
        <x:v>Paraphrased</x:v>
      </x:c>
      <x:c r="C26" s="135" t="str">
        <x:v>Doc A</x:v>
      </x:c>
      <x:c r="D26" s="137" t="str">
        <x:v>Restate why the authors used sinusoidal positional encodings instead of relying only on recurrence or convolution.</x:v>
      </x:c>
      <x:c r="E26" s="151" t="str"/>
      <x:c r="F26" s="151" t="str"/>
      <x:c r="G26" s="157" t="str"/>
      <x:c r="H26" s="157" t="str"/>
      <x:c r="I26" s="157" t="str"/>
      <x:c r="J26" s="157" t="str"/>
      <x:c r="K26" s="157" t="str"/>
      <x:c r="L26" s="157" t="str"/>
      <x:c r="M26" s="155" t="str"/>
      <x:c r="N26" s="151" t="str"/>
    </x:row>
    <x:row r="27" ht="48" hidden="0" customHeight="1">
      <x:c r="A27" s="135" t="n">
        <x:v>24</x:v>
      </x:c>
      <x:c r="B27" s="136" t="str">
        <x:v>Paraphrased</x:v>
      </x:c>
      <x:c r="C27" s="135" t="str">
        <x:v>Doc A</x:v>
      </x:c>
      <x:c r="D27" s="137" t="str">
        <x:v>What is the paper’s practical reason for using multiple attention heads rather than one?</x:v>
      </x:c>
      <x:c r="E27" s="151" t="str"/>
      <x:c r="F27" s="151" t="str"/>
      <x:c r="G27" s="157" t="str"/>
      <x:c r="H27" s="157" t="str"/>
      <x:c r="I27" s="157" t="str"/>
      <x:c r="J27" s="157" t="str"/>
      <x:c r="K27" s="157" t="str"/>
      <x:c r="L27" s="157" t="str"/>
      <x:c r="M27" s="155" t="str"/>
      <x:c r="N27" s="151" t="str"/>
    </x:row>
    <x:row r="28" ht="48" hidden="0" customHeight="1">
      <x:c r="A28" s="135" t="n">
        <x:v>25</x:v>
      </x:c>
      <x:c r="B28" s="136" t="str">
        <x:v>Paraphrased</x:v>
      </x:c>
      <x:c r="C28" s="135" t="str">
        <x:v>Doc A</x:v>
      </x:c>
      <x:c r="D28" s="137" t="str">
        <x:v>Summarize how the decoder is prevented from looking ahead to future tokens.</x:v>
      </x:c>
      <x:c r="E28" s="151" t="str"/>
      <x:c r="F28" s="151" t="str"/>
      <x:c r="G28" s="157" t="str"/>
      <x:c r="H28" s="157" t="str"/>
      <x:c r="I28" s="157" t="str"/>
      <x:c r="J28" s="157" t="str"/>
      <x:c r="K28" s="157" t="str"/>
      <x:c r="L28" s="157" t="str"/>
      <x:c r="M28" s="155" t="str"/>
      <x:c r="N28" s="151" t="str"/>
    </x:row>
    <x:row r="29" ht="48" hidden="0" customHeight="1">
      <x:c r="A29" s="135" t="n">
        <x:v>26</x:v>
      </x:c>
      <x:c r="B29" s="136" t="str">
        <x:v>Paraphrased</x:v>
      </x:c>
      <x:c r="C29" s="135" t="str">
        <x:v>Doc B</x:v>
      </x:c>
      <x:c r="D29" s="137" t="str">
        <x:v>Explain why automated evaluation is important for RAG systems, using the RAGAS paper’s reasoning.</x:v>
      </x:c>
      <x:c r="E29" s="151" t="str"/>
      <x:c r="F29" s="151" t="str"/>
      <x:c r="G29" s="157" t="str"/>
      <x:c r="H29" s="157" t="str"/>
      <x:c r="I29" s="157" t="str"/>
      <x:c r="J29" s="157" t="str"/>
      <x:c r="K29" s="157" t="str"/>
      <x:c r="L29" s="157" t="str"/>
      <x:c r="M29" s="155" t="str"/>
      <x:c r="N29" s="151" t="str"/>
    </x:row>
    <x:row r="30" ht="48" hidden="0" customHeight="1">
      <x:c r="A30" s="135" t="n">
        <x:v>27</x:v>
      </x:c>
      <x:c r="B30" s="136" t="str">
        <x:v>Paraphrased</x:v>
      </x:c>
      <x:c r="C30" s="135" t="str">
        <x:v>Doc B</x:v>
      </x:c>
      <x:c r="D30" s="137" t="str">
        <x:v>How does the RAGAS paper define faithfulness in plain language?</x:v>
      </x:c>
      <x:c r="E30" s="151" t="str"/>
      <x:c r="F30" s="151" t="str"/>
      <x:c r="G30" s="157" t="str"/>
      <x:c r="H30" s="157" t="str"/>
      <x:c r="I30" s="157" t="str"/>
      <x:c r="J30" s="157" t="str"/>
      <x:c r="K30" s="157" t="str"/>
      <x:c r="L30" s="157" t="str"/>
      <x:c r="M30" s="155" t="str"/>
      <x:c r="N30" s="151" t="str"/>
    </x:row>
    <x:row r="31" ht="48" hidden="0" customHeight="1">
      <x:c r="A31" s="135" t="n">
        <x:v>28</x:v>
      </x:c>
      <x:c r="B31" s="136" t="str">
        <x:v>Paraphrased</x:v>
      </x:c>
      <x:c r="C31" s="135" t="str">
        <x:v>Doc B</x:v>
      </x:c>
      <x:c r="D31" s="137" t="str">
        <x:v>What does answer relevance measure, ignoring whether the answer is factually correct?</x:v>
      </x:c>
      <x:c r="E31" s="151" t="str"/>
      <x:c r="F31" s="151" t="str"/>
      <x:c r="G31" s="157" t="str"/>
      <x:c r="H31" s="157" t="str"/>
      <x:c r="I31" s="157" t="str"/>
      <x:c r="J31" s="157" t="str"/>
      <x:c r="K31" s="157" t="str"/>
      <x:c r="L31" s="157" t="str"/>
      <x:c r="M31" s="155" t="str"/>
      <x:c r="N31" s="151" t="str"/>
    </x:row>
    <x:row r="32" ht="48" hidden="0" customHeight="1">
      <x:c r="A32" s="135" t="n">
        <x:v>29</x:v>
      </x:c>
      <x:c r="B32" s="136" t="str">
        <x:v>Paraphrased</x:v>
      </x:c>
      <x:c r="C32" s="135" t="str">
        <x:v>Doc B</x:v>
      </x:c>
      <x:c r="D32" s="137" t="str">
        <x:v>Describe how RAGAS computes a faithfulness score from generated statements.</x:v>
      </x:c>
      <x:c r="E32" s="151" t="str"/>
      <x:c r="F32" s="151" t="str"/>
      <x:c r="G32" s="157" t="str"/>
      <x:c r="H32" s="157" t="str"/>
      <x:c r="I32" s="157" t="str"/>
      <x:c r="J32" s="157" t="str"/>
      <x:c r="K32" s="157" t="str"/>
      <x:c r="L32" s="157" t="str"/>
      <x:c r="M32" s="155" t="str"/>
      <x:c r="N32" s="151" t="str"/>
    </x:row>
    <x:row r="33" ht="48" hidden="0" customHeight="1">
      <x:c r="A33" s="135" t="n">
        <x:v>30</x:v>
      </x:c>
      <x:c r="B33" s="136" t="str">
        <x:v>Paraphrased</x:v>
      </x:c>
      <x:c r="C33" s="135" t="str">
        <x:v>Doc B</x:v>
      </x:c>
      <x:c r="D33" s="137" t="str">
        <x:v>Why does the paper say context relevance matters for RAG evaluation?</x:v>
      </x:c>
      <x:c r="E33" s="151" t="str"/>
      <x:c r="F33" s="151" t="str"/>
      <x:c r="G33" s="157" t="str"/>
      <x:c r="H33" s="157" t="str"/>
      <x:c r="I33" s="157" t="str"/>
      <x:c r="J33" s="157" t="str"/>
      <x:c r="K33" s="157" t="str"/>
      <x:c r="L33" s="157" t="str"/>
      <x:c r="M33" s="155" t="str"/>
      <x:c r="N33" s="151" t="str"/>
    </x:row>
    <x:row r="34" ht="48" hidden="0" customHeight="1">
      <x:c r="A34" s="135" t="n">
        <x:v>31</x:v>
      </x:c>
      <x:c r="B34" s="136" t="str">
        <x:v>Paraphrased</x:v>
      </x:c>
      <x:c r="C34" s="135" t="str">
        <x:v>Doc C</x:v>
      </x:c>
      <x:c r="D34" s="137" t="str">
        <x:v>Explain RAG to a non-technical reader based on the Wikipedia article.</x:v>
      </x:c>
      <x:c r="E34" s="151" t="str"/>
      <x:c r="F34" s="151" t="str"/>
      <x:c r="G34" s="157" t="str"/>
      <x:c r="H34" s="157" t="str"/>
      <x:c r="I34" s="157" t="str"/>
      <x:c r="J34" s="157" t="str"/>
      <x:c r="K34" s="157" t="str"/>
      <x:c r="L34" s="157" t="str"/>
      <x:c r="M34" s="155" t="str"/>
      <x:c r="N34" s="151" t="str"/>
    </x:row>
    <x:row r="35" ht="48" hidden="0" customHeight="1">
      <x:c r="A35" s="135" t="n">
        <x:v>32</x:v>
      </x:c>
      <x:c r="B35" s="136" t="str">
        <x:v>Paraphrased</x:v>
      </x:c>
      <x:c r="C35" s="135" t="str">
        <x:v>Doc C</x:v>
      </x:c>
      <x:c r="D35" s="137" t="str">
        <x:v>How does RAG reduce the need to retrain an LLM when new information becomes available?</x:v>
      </x:c>
      <x:c r="E35" s="151" t="str"/>
      <x:c r="F35" s="151" t="str"/>
      <x:c r="G35" s="157" t="str"/>
      <x:c r="H35" s="157" t="str"/>
      <x:c r="I35" s="157" t="str"/>
      <x:c r="J35" s="157" t="str"/>
      <x:c r="K35" s="157" t="str"/>
      <x:c r="L35" s="157" t="str"/>
      <x:c r="M35" s="155" t="str"/>
      <x:c r="N35" s="151" t="str"/>
    </x:row>
    <x:row r="36" ht="48" hidden="0" customHeight="1">
      <x:c r="A36" s="135" t="n">
        <x:v>33</x:v>
      </x:c>
      <x:c r="B36" s="136" t="str">
        <x:v>Paraphrased</x:v>
      </x:c>
      <x:c r="C36" s="135" t="str">
        <x:v>Doc C</x:v>
      </x:c>
      <x:c r="D36" s="137" t="str">
        <x:v>What does the article mean when it says RAG can still hallucinate around source material?</x:v>
      </x:c>
      <x:c r="E36" s="151" t="str"/>
      <x:c r="F36" s="151" t="str"/>
      <x:c r="G36" s="157" t="str"/>
      <x:c r="H36" s="157" t="str"/>
      <x:c r="I36" s="157" t="str"/>
      <x:c r="J36" s="157" t="str"/>
      <x:c r="K36" s="157" t="str"/>
      <x:c r="L36" s="157" t="str"/>
      <x:c r="M36" s="155" t="str"/>
      <x:c r="N36" s="151" t="str"/>
    </x:row>
    <x:row r="37" ht="48" hidden="0" customHeight="1">
      <x:c r="A37" s="135" t="n">
        <x:v>34</x:v>
      </x:c>
      <x:c r="B37" s="136" t="str">
        <x:v>Paraphrased</x:v>
      </x:c>
      <x:c r="C37" s="135" t="str">
        <x:v>Doc C</x:v>
      </x:c>
      <x:c r="D37" s="137" t="str">
        <x:v>How do dense vectors and sparse vectors differ in the RAG article’s explanation?</x:v>
      </x:c>
      <x:c r="E37" s="151" t="str"/>
      <x:c r="F37" s="151" t="str"/>
      <x:c r="G37" s="157" t="str"/>
      <x:c r="H37" s="157" t="str"/>
      <x:c r="I37" s="157" t="str"/>
      <x:c r="J37" s="157" t="str"/>
      <x:c r="K37" s="157" t="str"/>
      <x:c r="L37" s="157" t="str"/>
      <x:c r="M37" s="155" t="str"/>
      <x:c r="N37" s="151" t="str"/>
    </x:row>
    <x:row r="38" ht="48" hidden="0" customHeight="1">
      <x:c r="A38" s="135" t="n">
        <x:v>35</x:v>
      </x:c>
      <x:c r="B38" s="136" t="str">
        <x:v>Paraphrased</x:v>
      </x:c>
      <x:c r="C38" s="135" t="str">
        <x:v>Doc C</x:v>
      </x:c>
      <x:c r="D38" s="137" t="str">
        <x:v>Why might hybrid search help when vector database retrieval misses key facts?</x:v>
      </x:c>
      <x:c r="E38" s="151" t="str"/>
      <x:c r="F38" s="151" t="str"/>
      <x:c r="G38" s="157" t="str"/>
      <x:c r="H38" s="157" t="str"/>
      <x:c r="I38" s="157" t="str"/>
      <x:c r="J38" s="157" t="str"/>
      <x:c r="K38" s="157" t="str"/>
      <x:c r="L38" s="157" t="str"/>
      <x:c r="M38" s="155" t="str"/>
      <x:c r="N38" s="151" t="str"/>
    </x:row>
    <x:row r="39" ht="48" hidden="0" customHeight="1">
      <x:c r="A39" s="143" t="n">
        <x:v>36</x:v>
      </x:c>
      <x:c r="B39" s="144" t="str">
        <x:v>Multi-hop</x:v>
      </x:c>
      <x:c r="C39" s="143" t="str">
        <x:v>Doc A</x:v>
      </x:c>
      <x:c r="D39" s="145" t="str">
        <x:v>Connect the Transformer’s lack of recurrence with its claim about faster training and parallelization.</x:v>
      </x:c>
      <x:c r="E39" s="151" t="str"/>
      <x:c r="F39" s="151" t="str"/>
      <x:c r="G39" s="157" t="str"/>
      <x:c r="H39" s="157" t="str"/>
      <x:c r="I39" s="157" t="str"/>
      <x:c r="J39" s="157" t="str"/>
      <x:c r="K39" s="157" t="str"/>
      <x:c r="L39" s="157" t="str"/>
      <x:c r="M39" s="155" t="str"/>
      <x:c r="N39" s="151" t="str"/>
    </x:row>
    <x:row r="40" ht="48" hidden="0" customHeight="1">
      <x:c r="A40" s="143" t="n">
        <x:v>37</x:v>
      </x:c>
      <x:c r="B40" s="144" t="str">
        <x:v>Multi-hop</x:v>
      </x:c>
      <x:c r="C40" s="143" t="str">
        <x:v>Doc A</x:v>
      </x:c>
      <x:c r="D40" s="145" t="str">
        <x:v>Compare self-attention, recurrent, and convolutional layers using both sequential operations and maximum path length.</x:v>
      </x:c>
      <x:c r="E40" s="151" t="str"/>
      <x:c r="F40" s="151" t="str"/>
      <x:c r="G40" s="157" t="str"/>
      <x:c r="H40" s="157" t="str"/>
      <x:c r="I40" s="157" t="str"/>
      <x:c r="J40" s="157" t="str"/>
      <x:c r="K40" s="157" t="str"/>
      <x:c r="L40" s="157" t="str"/>
      <x:c r="M40" s="155" t="str"/>
      <x:c r="N40" s="151" t="str"/>
    </x:row>
    <x:row r="41" ht="48" hidden="0" customHeight="1">
      <x:c r="A41" s="143" t="n">
        <x:v>38</x:v>
      </x:c>
      <x:c r="B41" s="144" t="str">
        <x:v>Multi-hop</x:v>
      </x:c>
      <x:c r="C41" s="143" t="str">
        <x:v>Doc A</x:v>
      </x:c>
      <x:c r="D41" s="145" t="str">
        <x:v>How do residual connections, layer normalization, and fixed d_model dimensions work together in the encoder and decoder stacks?</x:v>
      </x:c>
      <x:c r="E41" s="151" t="str"/>
      <x:c r="F41" s="151" t="str"/>
      <x:c r="G41" s="157" t="str"/>
      <x:c r="H41" s="157" t="str"/>
      <x:c r="I41" s="157" t="str"/>
      <x:c r="J41" s="157" t="str"/>
      <x:c r="K41" s="157" t="str"/>
      <x:c r="L41" s="157" t="str"/>
      <x:c r="M41" s="155" t="str"/>
      <x:c r="N41" s="151" t="str"/>
    </x:row>
    <x:row r="42" ht="48" hidden="0" customHeight="1">
      <x:c r="A42" s="143" t="n">
        <x:v>39</x:v>
      </x:c>
      <x:c r="B42" s="144" t="str">
        <x:v>Multi-hop</x:v>
      </x:c>
      <x:c r="C42" s="143" t="str">
        <x:v>Doc A</x:v>
      </x:c>
      <x:c r="D42" s="145" t="str">
        <x:v>Relate the base model’s hyperparameters to the big model’s improvements in BLEU and parameter count.</x:v>
      </x:c>
      <x:c r="E42" s="151" t="str"/>
      <x:c r="F42" s="151" t="str"/>
      <x:c r="G42" s="157" t="str"/>
      <x:c r="H42" s="157" t="str"/>
      <x:c r="I42" s="157" t="str"/>
      <x:c r="J42" s="157" t="str"/>
      <x:c r="K42" s="157" t="str"/>
      <x:c r="L42" s="157" t="str"/>
      <x:c r="M42" s="155" t="str"/>
      <x:c r="N42" s="151" t="str"/>
    </x:row>
    <x:row r="43" ht="48" hidden="0" customHeight="1">
      <x:c r="A43" s="143" t="n">
        <x:v>40</x:v>
      </x:c>
      <x:c r="B43" s="144" t="str">
        <x:v>Multi-hop</x:v>
      </x:c>
      <x:c r="C43" s="143" t="str">
        <x:v>Doc A</x:v>
      </x:c>
      <x:c r="D43" s="145" t="str">
        <x:v>Why can the Transformer generalize to constituency parsing despite being designed for machine translation?</x:v>
      </x:c>
      <x:c r="E43" s="151" t="str"/>
      <x:c r="F43" s="151" t="str"/>
      <x:c r="G43" s="157" t="str"/>
      <x:c r="H43" s="157" t="str"/>
      <x:c r="I43" s="157" t="str"/>
      <x:c r="J43" s="157" t="str"/>
      <x:c r="K43" s="157" t="str"/>
      <x:c r="L43" s="157" t="str"/>
      <x:c r="M43" s="155" t="str"/>
      <x:c r="N43" s="151" t="str"/>
    </x:row>
    <x:row r="44" ht="48" hidden="0" customHeight="1">
      <x:c r="A44" s="143" t="n">
        <x:v>41</x:v>
      </x:c>
      <x:c r="B44" s="144" t="str">
        <x:v>Multi-hop</x:v>
      </x:c>
      <x:c r="C44" s="143" t="str">
        <x:v>Doc B</x:v>
      </x:c>
      <x:c r="D44" s="145" t="str">
        <x:v>Connect the RAGAS definitions of faithfulness and context relevance to the goal of reducing hallucinations in RAG systems.</x:v>
      </x:c>
      <x:c r="E44" s="151" t="str"/>
      <x:c r="F44" s="151" t="str"/>
      <x:c r="G44" s="157" t="str"/>
      <x:c r="H44" s="157" t="str"/>
      <x:c r="I44" s="157" t="str"/>
      <x:c r="J44" s="157" t="str"/>
      <x:c r="K44" s="157" t="str"/>
      <x:c r="L44" s="157" t="str"/>
      <x:c r="M44" s="155" t="str"/>
      <x:c r="N44" s="151" t="str"/>
    </x:row>
    <x:row r="45" ht="48" hidden="0" customHeight="1">
      <x:c r="A45" s="143" t="n">
        <x:v>42</x:v>
      </x:c>
      <x:c r="B45" s="144" t="str">
        <x:v>Multi-hop</x:v>
      </x:c>
      <x:c r="C45" s="143" t="str">
        <x:v>Doc B</x:v>
      </x:c>
      <x:c r="D45" s="145" t="str">
        <x:v>How does the RAGAS faithfulness metric combine statement extraction and statement verification?</x:v>
      </x:c>
      <x:c r="E45" s="151" t="str"/>
      <x:c r="F45" s="151" t="str"/>
      <x:c r="G45" s="157" t="str"/>
      <x:c r="H45" s="157" t="str"/>
      <x:c r="I45" s="157" t="str"/>
      <x:c r="J45" s="157" t="str"/>
      <x:c r="K45" s="157" t="str"/>
      <x:c r="L45" s="157" t="str"/>
      <x:c r="M45" s="155" t="str"/>
      <x:c r="N45" s="151" t="str"/>
    </x:row>
    <x:row r="46" ht="48" hidden="0" customHeight="1">
      <x:c r="A46" s="143" t="n">
        <x:v>43</x:v>
      </x:c>
      <x:c r="B46" s="144" t="str">
        <x:v>Multi-hop</x:v>
      </x:c>
      <x:c r="C46" s="143" t="str">
        <x:v>Doc B</x:v>
      </x:c>
      <x:c r="D46" s="145" t="str">
        <x:v>Compare RAGAS, GPT Score, and GPT Ranking based on their agreement with human annotators.</x:v>
      </x:c>
      <x:c r="E46" s="151" t="str"/>
      <x:c r="F46" s="151" t="str"/>
      <x:c r="G46" s="157" t="str"/>
      <x:c r="H46" s="157" t="str"/>
      <x:c r="I46" s="157" t="str"/>
      <x:c r="J46" s="157" t="str"/>
      <x:c r="K46" s="157" t="str"/>
      <x:c r="L46" s="157" t="str"/>
      <x:c r="M46" s="155" t="str"/>
      <x:c r="N46" s="151" t="str"/>
    </x:row>
    <x:row r="47" ht="48" hidden="0" customHeight="1">
      <x:c r="A47" s="143" t="n">
        <x:v>44</x:v>
      </x:c>
      <x:c r="B47" s="144" t="str">
        <x:v>Multi-hop</x:v>
      </x:c>
      <x:c r="C47" s="143" t="str">
        <x:v>Doc B</x:v>
      </x:c>
      <x:c r="D47" s="145" t="str">
        <x:v>Why is answer relevance harder to evaluate than faithfulness according to the paper’s experiment discussion?</x:v>
      </x:c>
      <x:c r="E47" s="151" t="str"/>
      <x:c r="F47" s="151" t="str"/>
      <x:c r="G47" s="157" t="str"/>
      <x:c r="H47" s="157" t="str"/>
      <x:c r="I47" s="157" t="str"/>
      <x:c r="J47" s="157" t="str"/>
      <x:c r="K47" s="157" t="str"/>
      <x:c r="L47" s="157" t="str"/>
      <x:c r="M47" s="155" t="str"/>
      <x:c r="N47" s="151" t="str"/>
    </x:row>
    <x:row r="48" ht="48" hidden="0" customHeight="1">
      <x:c r="A48" s="143" t="n">
        <x:v>45</x:v>
      </x:c>
      <x:c r="B48" s="144" t="str">
        <x:v>Multi-hop</x:v>
      </x:c>
      <x:c r="C48" s="143" t="str">
        <x:v>Doc B</x:v>
      </x:c>
      <x:c r="D48" s="145" t="str">
        <x:v>Explain how WikiEval was constructed and how it was used to compare evaluation methods.</x:v>
      </x:c>
      <x:c r="E48" s="151" t="str"/>
      <x:c r="F48" s="151" t="str"/>
      <x:c r="G48" s="157" t="str"/>
      <x:c r="H48" s="157" t="str"/>
      <x:c r="I48" s="157" t="str"/>
      <x:c r="J48" s="157" t="str"/>
      <x:c r="K48" s="157" t="str"/>
      <x:c r="L48" s="157" t="str"/>
      <x:c r="M48" s="155" t="str"/>
      <x:c r="N48" s="151" t="str"/>
    </x:row>
    <x:row r="49" ht="48" hidden="0" customHeight="1">
      <x:c r="A49" s="143" t="n">
        <x:v>46</x:v>
      </x:c>
      <x:c r="B49" s="144" t="str">
        <x:v>Multi-hop</x:v>
      </x:c>
      <x:c r="C49" s="143" t="str">
        <x:v>Doc C</x:v>
      </x:c>
      <x:c r="D49" s="145" t="str">
        <x:v>Connect RAG’s retrieval process, vector databases, and prompt augmentation into one end-to-end workflow.</x:v>
      </x:c>
      <x:c r="E49" s="151" t="str"/>
      <x:c r="F49" s="151" t="str"/>
      <x:c r="G49" s="157" t="str"/>
      <x:c r="H49" s="157" t="str"/>
      <x:c r="I49" s="157" t="str"/>
      <x:c r="J49" s="157" t="str"/>
      <x:c r="K49" s="157" t="str"/>
      <x:c r="L49" s="157" t="str"/>
      <x:c r="M49" s="155" t="str"/>
      <x:c r="N49" s="151" t="str"/>
    </x:row>
    <x:row r="50" ht="48" hidden="0" customHeight="1">
      <x:c r="A50" s="143" t="n">
        <x:v>47</x:v>
      </x:c>
      <x:c r="B50" s="144" t="str">
        <x:v>Multi-hop</x:v>
      </x:c>
      <x:c r="C50" s="143" t="str">
        <x:v>Doc C</x:v>
      </x:c>
      <x:c r="D50" s="145" t="str">
        <x:v>How do chunking, reranking, and hybrid search address different failure points in RAG retrieval?</x:v>
      </x:c>
      <x:c r="E50" s="151" t="str"/>
      <x:c r="F50" s="151" t="str"/>
      <x:c r="G50" s="157" t="str"/>
      <x:c r="H50" s="157" t="str"/>
      <x:c r="I50" s="157" t="str"/>
      <x:c r="J50" s="157" t="str"/>
      <x:c r="K50" s="157" t="str"/>
      <x:c r="L50" s="157" t="str"/>
      <x:c r="M50" s="155" t="str"/>
      <x:c r="N50" s="151" t="str"/>
    </x:row>
    <x:row r="51" ht="48" hidden="0" customHeight="1">
      <x:c r="A51" s="143" t="n">
        <x:v>48</x:v>
      </x:c>
      <x:c r="B51" s="144" t="str">
        <x:v>Multi-hop</x:v>
      </x:c>
      <x:c r="C51" s="143" t="str">
        <x:v>Doc C</x:v>
      </x:c>
      <x:c r="D51" s="145" t="str">
        <x:v>Why can RAG both reduce hallucinations and still fail when the retrieved context is misleading or misinterpreted?</x:v>
      </x:c>
      <x:c r="E51" s="151" t="str"/>
      <x:c r="F51" s="151" t="str"/>
      <x:c r="G51" s="157" t="str"/>
      <x:c r="H51" s="157" t="str"/>
      <x:c r="I51" s="157" t="str"/>
      <x:c r="J51" s="157" t="str"/>
      <x:c r="K51" s="157" t="str"/>
      <x:c r="L51" s="157" t="str"/>
      <x:c r="M51" s="155" t="str"/>
      <x:c r="N51" s="151" t="str"/>
    </x:row>
    <x:row r="52" ht="48" hidden="0" customHeight="1">
      <x:c r="A52" s="143" t="n">
        <x:v>49</x:v>
      </x:c>
      <x:c r="B52" s="144" t="str">
        <x:v>Multi-hop</x:v>
      </x:c>
      <x:c r="C52" s="143" t="str">
        <x:v>Doc C</x:v>
      </x:c>
      <x:c r="D52" s="145" t="str">
        <x:v>Compare the cost-saving benefit of RAG with the limitation that it does not eliminate retraining entirely.</x:v>
      </x:c>
      <x:c r="E52" s="151" t="str"/>
      <x:c r="F52" s="151" t="str"/>
      <x:c r="G52" s="157" t="str"/>
      <x:c r="H52" s="157" t="str"/>
      <x:c r="I52" s="157" t="str"/>
      <x:c r="J52" s="157" t="str"/>
      <x:c r="K52" s="157" t="str"/>
      <x:c r="L52" s="157" t="str"/>
      <x:c r="M52" s="155" t="str"/>
      <x:c r="N52" s="151" t="str"/>
    </x:row>
    <x:row r="53" ht="48" hidden="0" customHeight="1">
      <x:c r="A53" s="143" t="n">
        <x:v>50</x:v>
      </x:c>
      <x:c r="B53" s="144" t="str">
        <x:v>Multi-hop</x:v>
      </x:c>
      <x:c r="C53" s="143" t="str">
        <x:v>Doc C</x:v>
      </x:c>
      <x:c r="D53" s="145" t="str">
        <x:v>How could conflicting information from multiple retrieved sources lead to a misleading final RAG answer?</x:v>
      </x:c>
      <x:c r="E53" s="151" t="str"/>
      <x:c r="F53" s="151" t="str"/>
      <x:c r="G53" s="157" t="str"/>
      <x:c r="H53" s="157" t="str"/>
      <x:c r="I53" s="157" t="str"/>
      <x:c r="J53" s="157" t="str"/>
      <x:c r="K53" s="157" t="str"/>
      <x:c r="L53" s="157" t="str"/>
      <x:c r="M53" s="155" t="str"/>
      <x:c r="N53" s="151" t="str"/>
    </x:row>
    <x:row r="54">
      <x:c r="A54" s="198" t="str"/>
      <x:c r="B54" s="198" t="str"/>
      <x:c r="C54" s="198" t="str"/>
      <x:c r="D54" s="198" t="str"/>
      <x:c r="E54" s="198" t="str"/>
      <x:c r="F54" s="198" t="str"/>
      <x:c r="G54" s="198" t="str"/>
      <x:c r="H54" s="198" t="str"/>
      <x:c r="I54" s="198" t="str"/>
      <x:c r="J54" s="198" t="str"/>
      <x:c r="K54" s="198" t="str"/>
      <x:c r="L54" s="198" t="str"/>
      <x:c r="M54" s="198" t="str"/>
      <x:c r="N54" s="198" t="str"/>
    </x:row>
    <x:row r="55">
      <x:c r="A55" s="198" t="str"/>
      <x:c r="B55" s="198" t="str"/>
      <x:c r="C55" s="198" t="str"/>
      <x:c r="D55" s="198" t="str"/>
      <x:c r="E55" s="198" t="str"/>
      <x:c r="F55" s="198" t="str"/>
      <x:c r="G55" s="198" t="str"/>
      <x:c r="H55" s="198" t="str"/>
      <x:c r="I55" s="198" t="str"/>
      <x:c r="J55" s="198" t="str"/>
      <x:c r="K55" s="198" t="str"/>
      <x:c r="L55" s="198" t="str"/>
      <x:c r="M55" s="198" t="str"/>
      <x:c r="N55" s="198" t="str"/>
    </x:row>
    <x:row r="56" ht="19.5" hidden="0" customHeight="1">
      <x:c r="A56" s="227" t="str"/>
      <x:c r="B56" s="227" t="str"/>
      <x:c r="C56" s="227" t="str"/>
      <x:c r="D56" s="227" t="str"/>
      <x:c r="E56" s="227" t="str"/>
      <x:c r="F56" s="227" t="str"/>
      <x:c r="G56" s="227" t="str"/>
      <x:c r="H56" s="227" t="str"/>
      <x:c r="I56" s="227" t="str"/>
      <x:c r="J56" s="227" t="str"/>
      <x:c r="K56" s="227" t="str"/>
      <x:c r="L56" s="227" t="str"/>
      <x:c r="M56" s="227" t="str"/>
      <x:c r="N56" s="227" t="str"/>
    </x:row>
    <x:row r="57" ht="18" hidden="0" customHeight="1">
      <x:c r="A57" s="90" t="str"/>
      <x:c r="B57" s="90" t="str"/>
      <x:c r="C57" s="90" t="str"/>
      <x:c r="D57" s="90" t="str"/>
      <x:c r="E57" s="90" t="str"/>
      <x:c r="F57" s="90" t="str"/>
      <x:c r="G57" s="90" t="str"/>
      <x:c r="H57" s="90" t="str"/>
      <x:c r="I57" s="90" t="str"/>
      <x:c r="J57" s="90" t="str"/>
      <x:c r="K57" s="90" t="str"/>
      <x:c r="L57" s="90" t="str"/>
      <x:c r="M57" s="90" t="str"/>
      <x:c r="N57" s="90" t="str"/>
    </x:row>
    <x:row r="58" ht="18" hidden="0" customHeight="1">
      <x:c r="A58" s="97" t="str"/>
      <x:c r="B58" s="97" t="str"/>
      <x:c r="C58" s="97" t="str"/>
      <x:c r="D58" s="97" t="str"/>
      <x:c r="E58" s="97" t="str"/>
      <x:c r="F58" s="97" t="str"/>
      <x:c r="G58" s="97" t="str"/>
      <x:c r="H58" s="97" t="str"/>
      <x:c r="I58" s="97" t="str"/>
      <x:c r="J58" s="97" t="str"/>
      <x:c r="K58" s="97" t="str"/>
      <x:c r="L58" s="97" t="str"/>
      <x:c r="M58" s="97" t="str"/>
      <x:c r="N58" s="97" t="str"/>
    </x:row>
    <x:row r="59" ht="18" hidden="0" customHeight="1">
      <x:c r="A59" s="100" t="str"/>
      <x:c r="B59" s="100" t="str"/>
      <x:c r="C59" s="100" t="str"/>
      <x:c r="D59" s="100" t="str"/>
      <x:c r="E59" s="100" t="str"/>
      <x:c r="F59" s="100" t="str"/>
      <x:c r="G59" s="100" t="str"/>
      <x:c r="H59" s="100" t="str"/>
      <x:c r="I59" s="100" t="str"/>
      <x:c r="J59" s="100" t="str"/>
      <x:c r="K59" s="100" t="str"/>
      <x:c r="L59" s="100" t="str"/>
      <x:c r="M59" s="100" t="str"/>
      <x:c r="N59" s="100" t="str"/>
    </x:row>
    <x:row r="60">
      <x:c r="A60" s="198" t="str"/>
      <x:c r="B60" s="198" t="str"/>
      <x:c r="C60" s="198" t="str"/>
      <x:c r="D60" s="198" t="str"/>
      <x:c r="E60" s="198" t="str"/>
      <x:c r="F60" s="198" t="str"/>
      <x:c r="G60" s="198" t="str"/>
      <x:c r="H60" s="198" t="str"/>
      <x:c r="I60" s="198" t="str"/>
      <x:c r="J60" s="198" t="str"/>
      <x:c r="K60" s="198" t="str"/>
      <x:c r="L60" s="198" t="str"/>
      <x:c r="M60" s="198" t="str"/>
      <x:c r="N60" s="198" t="str"/>
    </x:row>
  </x:sheetData>
  <x:mergeCells>
    <x:mergeCell ref="A1:N1"/>
    <x:mergeCell ref="G2:H2"/>
    <x:mergeCell ref="I2:J2"/>
    <x:mergeCell ref="K2:L2"/>
    <x:mergeCell ref="A56:N56"/>
    <x:mergeCell ref="A57:N57"/>
    <x:mergeCell ref="A58:N58"/>
    <x:mergeCell ref="A59:N59"/>
  </x:mergeCells>
  <x:conditionalFormatting sqref="G4:L5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M4:M53">
    <x:cfRule type="expression" dxfId="0" priority="2">
      <x:formula>M4="Fail"</x:formula>
    </x:cfRule>
    <x:cfRule type="expression" dxfId="1" priority="3">
      <x:formula>M4="Pass"</x:formula>
    </x:cfRule>
  </x:conditionalFormatting>
  <x:dataValidations count="2">
    <x:dataValidation type="list" sqref="M4:M53">
      <x:formula1>"Pass,Fail,Partial,Not Run"</x:formula1>
    </x:dataValidation>
    <x:dataValidation type="list" sqref="N4:N53">
      <x:formula1>",Retrieval miss,Too vague,Answer ignored context,Paraphrase mismatch,Multi-hop divergence,Context drift,Hallucination missed,No answer,Other"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5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12" hidden="0" customWidth="1"/>
    <x:col min="8" max="8" width="12" hidden="0" customWidth="1"/>
  </x:cols>
  <x:sheetData>
    <x:row r="1" ht="30" hidden="0" customHeight="1">
      <x:c r="A1" s="63" t="str">
        <x:v>Analysis - Auto-Calculated Results</x:v>
      </x:c>
      <x:c r="B1" s="228" t="str"/>
      <x:c r="C1" s="228" t="str"/>
      <x:c r="D1" s="228" t="str"/>
      <x:c r="E1" s="228" t="str"/>
      <x:c r="F1" s="198" t="str"/>
      <x:c r="G1" s="198" t="str"/>
      <x:c r="H1" s="198" t="str"/>
    </x:row>
    <x:row r="2">
      <x:c r="A2" s="198" t="str"/>
      <x:c r="B2" s="198" t="str"/>
      <x:c r="C2" s="198" t="str"/>
      <x:c r="D2" s="198" t="str"/>
      <x:c r="E2" s="198" t="str"/>
      <x:c r="F2" s="198" t="str"/>
      <x:c r="G2" s="198" t="str"/>
      <x:c r="H2" s="198" t="str"/>
    </x:row>
    <x:row r="3" ht="24" hidden="0" customHeight="1">
      <x:c r="A3" s="161" t="str">
        <x:v>TABLE II - Mean Faithfulness Score by Query Type</x:v>
      </x:c>
      <x:c r="B3" s="161" t="str"/>
      <x:c r="C3" s="161" t="str"/>
      <x:c r="D3" s="161" t="str"/>
      <x:c r="E3" s="161" t="str"/>
      <x:c r="F3" s="198" t="str"/>
      <x:c r="G3" s="198" t="str"/>
      <x:c r="H3" s="198" t="str"/>
    </x:row>
    <x:row r="4" ht="15" hidden="0">
      <x:c r="A4" s="86" t="str">
        <x:v>Query Type</x:v>
      </x:c>
      <x:c r="B4" s="86" t="str">
        <x:v>Cosine Sim (A)</x:v>
      </x:c>
      <x:c r="C4" s="86" t="str">
        <x:v>RAGAS (B)</x:v>
      </x:c>
      <x:c r="D4" s="86" t="str">
        <x:v>LLM-Judge (C)</x:v>
      </x:c>
      <x:c r="E4" s="86" t="str">
        <x:v>A vs C Delta</x:v>
      </x:c>
      <x:c r="F4" s="198" t="str"/>
      <x:c r="G4" s="198" t="str"/>
      <x:c r="H4" s="198" t="str"/>
    </x:row>
    <x:row r="5" ht="19.5" hidden="0" customHeight="1">
      <x:c r="A5" s="189" t="str">
        <x:v>Factual (Q1-Q20)</x:v>
      </x:c>
      <x:c r="B5" s="213" t="str">
        <x:f aca="0">IFERROR(AVERAGEIFS('Query Log'!$G$4:$G$53,'Query Log'!$B$4:$B$53,"Factual"),"")</x:f>
      </x:c>
      <x:c r="C5" s="213" t="str">
        <x:f aca="0">IFERROR(AVERAGEIFS('Query Log'!$I$4:$I$53,'Query Log'!$B$4:$B$53,"Factual"),"")</x:f>
      </x:c>
      <x:c r="D5" s="213" t="str">
        <x:f aca="0">IFERROR(AVERAGEIFS('Query Log'!$K$4:$K$53,'Query Log'!$B$4:$B$53,"Factual"),"")</x:f>
      </x:c>
      <x:c r="E5" s="213" t="str">
        <x:f aca="0">IF(OR(B5="",D5=""),"",B5-D5)</x:f>
      </x:c>
      <x:c r="F5" s="198" t="str"/>
      <x:c r="G5" s="198" t="str"/>
      <x:c r="H5" s="198" t="str"/>
    </x:row>
    <x:row r="6" ht="19.5" hidden="0" customHeight="1">
      <x:c r="A6" s="191" t="str">
        <x:v>Paraphrased (Q21-Q35)</x:v>
      </x:c>
      <x:c r="B6" s="214" t="str">
        <x:f aca="0">IFERROR(AVERAGEIFS('Query Log'!$G$4:$G$53,'Query Log'!$B$4:$B$53,"Paraphrased"),"")</x:f>
      </x:c>
      <x:c r="C6" s="214" t="str">
        <x:f aca="0">IFERROR(AVERAGEIFS('Query Log'!$I$4:$I$53,'Query Log'!$B$4:$B$53,"Paraphrased"),"")</x:f>
      </x:c>
      <x:c r="D6" s="214" t="str">
        <x:f aca="0">IFERROR(AVERAGEIFS('Query Log'!$K$4:$K$53,'Query Log'!$B$4:$B$53,"Paraphrased"),"")</x:f>
      </x:c>
      <x:c r="E6" s="214" t="str">
        <x:f aca="0">IF(OR(B6="",D6=""),"",B6-D6)</x:f>
      </x:c>
      <x:c r="F6" s="198" t="str"/>
      <x:c r="G6" s="198" t="str"/>
      <x:c r="H6" s="198" t="str"/>
    </x:row>
    <x:row r="7" ht="19.5" hidden="0" customHeight="1">
      <x:c r="A7" s="189" t="str">
        <x:v>Multi-hop (Q36-Q50)</x:v>
      </x:c>
      <x:c r="B7" s="213" t="str">
        <x:f aca="0">IFERROR(AVERAGEIFS('Query Log'!$G$4:$G$53,'Query Log'!$B$4:$B$53,"Multi-hop"),"")</x:f>
      </x:c>
      <x:c r="C7" s="213" t="str">
        <x:f aca="0">IFERROR(AVERAGEIFS('Query Log'!$I$4:$I$53,'Query Log'!$B$4:$B$53,"Multi-hop"),"")</x:f>
      </x:c>
      <x:c r="D7" s="213" t="str">
        <x:f aca="0">IFERROR(AVERAGEIFS('Query Log'!$K$4:$K$53,'Query Log'!$B$4:$B$53,"Multi-hop"),"")</x:f>
      </x:c>
      <x:c r="E7" s="213" t="str">
        <x:f aca="0">IF(OR(B7="",D7=""),"",B7-D7)</x:f>
      </x:c>
      <x:c r="F7" s="198" t="str"/>
      <x:c r="G7" s="198" t="str"/>
      <x:c r="H7" s="198" t="str"/>
    </x:row>
    <x:row r="8" ht="19.5" hidden="0" customHeight="1">
      <x:c r="A8" s="191" t="str">
        <x:v>All queries (Q1-Q50)</x:v>
      </x:c>
      <x:c r="B8" s="214" t="str">
        <x:f aca="0">IFERROR(AVERAGE('Query Log'!G4:G53),"")</x:f>
      </x:c>
      <x:c r="C8" s="214" t="str">
        <x:f aca="0">IFERROR(AVERAGE('Query Log'!I4:I53),"")</x:f>
      </x:c>
      <x:c r="D8" s="214" t="str">
        <x:f aca="0">IFERROR(AVERAGE('Query Log'!K4:K53),"")</x:f>
      </x:c>
      <x:c r="E8" s="214" t="str">
        <x:f aca="0">IF(OR(B8="",D8=""),"",B8-D8)</x:f>
      </x:c>
      <x:c r="F8" s="198" t="str"/>
      <x:c r="G8" s="198" t="str"/>
      <x:c r="H8" s="198" t="str"/>
    </x:row>
    <x:row r="9">
      <x:c r="A9" s="198" t="str"/>
      <x:c r="B9" s="198" t="str"/>
      <x:c r="C9" s="198" t="str"/>
      <x:c r="D9" s="198" t="str"/>
      <x:c r="E9" s="198" t="str"/>
      <x:c r="F9" s="198" t="str"/>
      <x:c r="G9" s="198" t="str"/>
      <x:c r="H9" s="198" t="str"/>
    </x:row>
    <x:row r="10">
      <x:c r="A10" s="198" t="str"/>
      <x:c r="B10" s="198" t="str"/>
      <x:c r="C10" s="198" t="str"/>
      <x:c r="D10" s="198" t="str"/>
      <x:c r="E10" s="198" t="str"/>
      <x:c r="F10" s="198" t="str"/>
      <x:c r="G10" s="198" t="str"/>
      <x:c r="H10" s="198" t="str"/>
    </x:row>
    <x:row r="11" ht="24" hidden="0" customHeight="1">
      <x:c r="A11" s="161" t="str">
        <x:v>TABLE III - Mean Relevance Score by Query Type</x:v>
      </x:c>
      <x:c r="B11" s="161" t="str"/>
      <x:c r="C11" s="161" t="str"/>
      <x:c r="D11" s="161" t="str"/>
      <x:c r="E11" s="161" t="str"/>
      <x:c r="F11" s="198" t="str"/>
      <x:c r="G11" s="198" t="str"/>
      <x:c r="H11" s="198" t="str"/>
    </x:row>
    <x:row r="12" ht="15" hidden="0">
      <x:c r="A12" s="86" t="str">
        <x:v>Query Type</x:v>
      </x:c>
      <x:c r="B12" s="86" t="str">
        <x:v>Cosine Sim (A)</x:v>
      </x:c>
      <x:c r="C12" s="86" t="str">
        <x:v>RAGAS (B)</x:v>
      </x:c>
      <x:c r="D12" s="86" t="str">
        <x:v>LLM-Judge (C)</x:v>
      </x:c>
      <x:c r="E12" s="86" t="str">
        <x:v>A vs C Delta</x:v>
      </x:c>
      <x:c r="F12" s="198" t="str"/>
      <x:c r="G12" s="198" t="str"/>
      <x:c r="H12" s="198" t="str"/>
    </x:row>
    <x:row r="13" ht="19.5" hidden="0" customHeight="1">
      <x:c r="A13" s="189" t="str">
        <x:v>Factual (Q1-Q20)</x:v>
      </x:c>
      <x:c r="B13" s="213" t="str">
        <x:f aca="0">IFERROR(AVERAGEIFS('Query Log'!$H$4:$H$53,'Query Log'!$B$4:$B$53,"Factual"),"")</x:f>
      </x:c>
      <x:c r="C13" s="213" t="str">
        <x:f aca="0">IFERROR(AVERAGEIFS('Query Log'!$J$4:$J$53,'Query Log'!$B$4:$B$53,"Factual"),"")</x:f>
      </x:c>
      <x:c r="D13" s="213" t="str">
        <x:f aca="0">IFERROR(AVERAGEIFS('Query Log'!$L$4:$L$53,'Query Log'!$B$4:$B$53,"Factual"),"")</x:f>
      </x:c>
      <x:c r="E13" s="213" t="str">
        <x:f aca="0">IF(OR(B13="",D13=""),"",B13-D13)</x:f>
      </x:c>
      <x:c r="F13" s="198" t="str"/>
      <x:c r="G13" s="198" t="str"/>
      <x:c r="H13" s="198" t="str"/>
    </x:row>
    <x:row r="14" ht="19.5" hidden="0" customHeight="1">
      <x:c r="A14" s="191" t="str">
        <x:v>Paraphrased (Q21-Q35)</x:v>
      </x:c>
      <x:c r="B14" s="214" t="str">
        <x:f aca="0">IFERROR(AVERAGEIFS('Query Log'!$H$4:$H$53,'Query Log'!$B$4:$B$53,"Paraphrased"),"")</x:f>
      </x:c>
      <x:c r="C14" s="214" t="str">
        <x:f aca="0">IFERROR(AVERAGEIFS('Query Log'!$J$4:$J$53,'Query Log'!$B$4:$B$53,"Paraphrased"),"")</x:f>
      </x:c>
      <x:c r="D14" s="214" t="str">
        <x:f aca="0">IFERROR(AVERAGEIFS('Query Log'!$L$4:$L$53,'Query Log'!$B$4:$B$53,"Paraphrased"),"")</x:f>
      </x:c>
      <x:c r="E14" s="214" t="str">
        <x:f aca="0">IF(OR(B14="",D14=""),"",B14-D14)</x:f>
      </x:c>
      <x:c r="F14" s="198" t="str"/>
      <x:c r="G14" s="198" t="str"/>
      <x:c r="H14" s="198" t="str"/>
    </x:row>
    <x:row r="15" ht="19.5" hidden="0" customHeight="1">
      <x:c r="A15" s="189" t="str">
        <x:v>Multi-hop (Q36-Q50)</x:v>
      </x:c>
      <x:c r="B15" s="213" t="str">
        <x:f aca="0">IFERROR(AVERAGEIFS('Query Log'!$H$4:$H$53,'Query Log'!$B$4:$B$53,"Multi-hop"),"")</x:f>
      </x:c>
      <x:c r="C15" s="213" t="str">
        <x:f aca="0">IFERROR(AVERAGEIFS('Query Log'!$J$4:$J$53,'Query Log'!$B$4:$B$53,"Multi-hop"),"")</x:f>
      </x:c>
      <x:c r="D15" s="213" t="str">
        <x:f aca="0">IFERROR(AVERAGEIFS('Query Log'!$L$4:$L$53,'Query Log'!$B$4:$B$53,"Multi-hop"),"")</x:f>
      </x:c>
      <x:c r="E15" s="213" t="str">
        <x:f aca="0">IF(OR(B15="",D15=""),"",B15-D15)</x:f>
      </x:c>
      <x:c r="F15" s="198" t="str"/>
      <x:c r="G15" s="198" t="str"/>
      <x:c r="H15" s="198" t="str"/>
    </x:row>
    <x:row r="16" ht="19.5" hidden="0" customHeight="1">
      <x:c r="A16" s="191" t="str">
        <x:v>All queries (Q1-Q50)</x:v>
      </x:c>
      <x:c r="B16" s="214" t="str">
        <x:f aca="0">IFERROR(AVERAGE('Query Log'!H4:H53),"")</x:f>
      </x:c>
      <x:c r="C16" s="214" t="str">
        <x:f aca="0">IFERROR(AVERAGE('Query Log'!J4:J53),"")</x:f>
      </x:c>
      <x:c r="D16" s="214" t="str">
        <x:f aca="0">IFERROR(AVERAGE('Query Log'!L4:L53),"")</x:f>
      </x:c>
      <x:c r="E16" s="214" t="str">
        <x:f aca="0">IF(OR(B16="",D16=""),"",B16-D16)</x:f>
      </x:c>
      <x:c r="F16" s="198" t="str"/>
      <x:c r="G16" s="198" t="str"/>
      <x:c r="H16" s="198" t="str"/>
    </x:row>
    <x:row r="17">
      <x:c r="A17" s="198" t="str"/>
      <x:c r="B17" s="198" t="str"/>
      <x:c r="C17" s="198" t="str"/>
      <x:c r="D17" s="198" t="str"/>
      <x:c r="E17" s="198" t="str"/>
      <x:c r="F17" s="198" t="str"/>
      <x:c r="G17" s="198" t="str"/>
      <x:c r="H17" s="198" t="str"/>
    </x:row>
    <x:row r="18">
      <x:c r="A18" s="198" t="str"/>
      <x:c r="B18" s="198" t="str"/>
      <x:c r="C18" s="198" t="str"/>
      <x:c r="D18" s="198" t="str"/>
      <x:c r="E18" s="198" t="str"/>
      <x:c r="F18" s="198" t="str"/>
      <x:c r="G18" s="198" t="str"/>
      <x:c r="H18" s="198" t="str"/>
    </x:row>
    <x:row r="19">
      <x:c r="A19" s="198" t="str"/>
      <x:c r="B19" s="198" t="str"/>
      <x:c r="C19" s="198" t="str"/>
      <x:c r="D19" s="198" t="str"/>
      <x:c r="E19" s="198" t="str"/>
      <x:c r="F19" s="198" t="str"/>
      <x:c r="G19" s="198" t="str"/>
      <x:c r="H19" s="198" t="str"/>
    </x:row>
    <x:row r="20" ht="24" hidden="0" customHeight="1">
      <x:c r="A20" s="161" t="str">
        <x:v>TABLE IV - Cost per Query Comparison</x:v>
      </x:c>
      <x:c r="B20" s="161" t="str"/>
      <x:c r="C20" s="161" t="str"/>
      <x:c r="D20" s="161" t="str"/>
      <x:c r="E20" s="161" t="str"/>
      <x:c r="F20" s="169" t="str"/>
      <x:c r="G20" s="198" t="str"/>
      <x:c r="H20" s="198" t="str"/>
    </x:row>
    <x:row r="21" ht="15" hidden="0">
      <x:c r="A21" s="86" t="str">
        <x:v>Method</x:v>
      </x:c>
      <x:c r="B21" s="86" t="str">
        <x:v>Unit Cost / Query</x:v>
      </x:c>
      <x:c r="C21" s="86" t="str">
        <x:v>Queries</x:v>
      </x:c>
      <x:c r="D21" s="86" t="str">
        <x:v>Est. Total Cost</x:v>
      </x:c>
      <x:c r="E21" s="86" t="str">
        <x:v>Latency</x:v>
      </x:c>
      <x:c r="F21" s="179" t="str">
        <x:v>Notes</x:v>
      </x:c>
      <x:c r="G21" s="198" t="str"/>
      <x:c r="H21" s="198" t="str"/>
    </x:row>
    <x:row r="22" ht="19.5" hidden="0" customHeight="1">
      <x:c r="A22" s="104" t="str">
        <x:v>A - Cosine Similarity</x:v>
      </x:c>
      <x:c r="B22" s="217" t="n">
        <x:v>0</x:v>
      </x:c>
      <x:c r="C22" s="217" t="n">
        <x:v>50</x:v>
      </x:c>
      <x:c r="D22" s="217" t="n">
        <x:f>B22*C22</x:f>
        <x:v>0</x:v>
      </x:c>
      <x:c r="E22" s="199" t="str">
        <x:v>&lt;10 ms after local embeddings</x:v>
      </x:c>
      <x:c r="F22" s="200" t="str">
        <x:v>Fully local once model is downloaded; no API calls.</x:v>
      </x:c>
      <x:c r="G22" s="198" t="str"/>
      <x:c r="H22" s="198" t="str"/>
    </x:row>
    <x:row r="23" ht="19.5" hidden="0" customHeight="1">
      <x:c r="A23" s="107" t="str">
        <x:v>B - RAGAS</x:v>
      </x:c>
      <x:c r="B23" s="218" t="n">
        <x:v>0.003</x:v>
      </x:c>
      <x:c r="C23" s="218" t="n">
        <x:v>50</x:v>
      </x:c>
      <x:c r="D23" s="218" t="n">
        <x:f>B23*C23</x:f>
        <x:v>0.15</x:v>
      </x:c>
      <x:c r="E23" s="106" t="str">
        <x:v>1-3 s per item</x:v>
      </x:c>
      <x:c r="F23" s="200" t="str">
        <x:v>Edit unit cost if your LLM provider/model differs.</x:v>
      </x:c>
      <x:c r="G23" s="198" t="str"/>
      <x:c r="H23" s="198" t="str"/>
    </x:row>
    <x:row r="24" ht="19.5" hidden="0" customHeight="1">
      <x:c r="A24" s="104" t="str">
        <x:v>C - LLM-as-Judge</x:v>
      </x:c>
      <x:c r="B24" s="217" t="n">
        <x:v>0.0015</x:v>
      </x:c>
      <x:c r="C24" s="217" t="n">
        <x:v>50</x:v>
      </x:c>
      <x:c r="D24" s="217" t="n">
        <x:f>B24*C24</x:f>
        <x:v>0.075</x:v>
      </x:c>
      <x:c r="E24" s="199" t="str">
        <x:v>1-2 s per item</x:v>
      </x:c>
      <x:c r="F24" s="200" t="str">
        <x:v>Single judge prompt per query; edit unit cost if needed.</x:v>
      </x:c>
      <x:c r="G24" s="198" t="str"/>
      <x:c r="H24" s="198" t="str"/>
    </x:row>
    <x:row r="25">
      <x:c r="A25" s="198" t="str"/>
      <x:c r="B25" s="198" t="str"/>
      <x:c r="C25" s="198" t="str"/>
      <x:c r="D25" s="198" t="str"/>
      <x:c r="E25" s="198" t="str"/>
      <x:c r="F25" s="198" t="str"/>
      <x:c r="G25" s="198" t="str"/>
      <x:c r="H25" s="198" t="str"/>
    </x:row>
    <x:row r="26">
      <x:c r="A26" s="198" t="str"/>
      <x:c r="B26" s="198" t="str"/>
      <x:c r="C26" s="198" t="str"/>
      <x:c r="D26" s="198" t="str"/>
      <x:c r="E26" s="198" t="str"/>
      <x:c r="F26" s="198" t="str"/>
      <x:c r="G26" s="198" t="str"/>
      <x:c r="H26" s="198" t="str"/>
    </x:row>
    <x:row r="27">
      <x:c r="A27" s="198" t="str"/>
      <x:c r="B27" s="198" t="str"/>
      <x:c r="C27" s="198" t="str"/>
      <x:c r="D27" s="198" t="str"/>
      <x:c r="E27" s="198" t="str"/>
      <x:c r="F27" s="198" t="str"/>
      <x:c r="G27" s="198" t="str"/>
      <x:c r="H27" s="198" t="str"/>
    </x:row>
    <x:row r="28" ht="24" hidden="0" customHeight="1">
      <x:c r="A28" s="161" t="str">
        <x:v>TABLE V - Failure Mode Tally</x:v>
      </x:c>
      <x:c r="B28" s="161" t="str"/>
      <x:c r="C28" s="161" t="str"/>
      <x:c r="D28" s="161" t="str"/>
      <x:c r="E28" s="161" t="str"/>
      <x:c r="F28" s="198" t="str"/>
      <x:c r="G28" s="198" t="str"/>
      <x:c r="H28" s="198" t="str"/>
    </x:row>
    <x:row r="29" ht="15" hidden="0">
      <x:c r="A29" s="86" t="str">
        <x:v>Failure Mode</x:v>
      </x:c>
      <x:c r="B29" s="86" t="str">
        <x:v>Description</x:v>
      </x:c>
      <x:c r="C29" s="86" t="str">
        <x:v>Expected Count</x:v>
      </x:c>
      <x:c r="D29" s="86" t="str">
        <x:v>Your Count</x:v>
      </x:c>
      <x:c r="E29" s="86" t="str">
        <x:v>% of 50 Queries</x:v>
      </x:c>
      <x:c r="F29" s="198" t="str"/>
      <x:c r="G29" s="198" t="str"/>
      <x:c r="H29" s="198" t="str"/>
    </x:row>
    <x:row r="30" ht="19.5" hidden="0" customHeight="1">
      <x:c r="A30" s="104" t="str">
        <x:v>Retrieval miss</x:v>
      </x:c>
      <x:c r="B30" s="104" t="str">
        <x:v>Relevant chunk not retrieved or wrong document retrieved</x:v>
      </x:c>
      <x:c r="C30" s="199" t="str">
        <x:v>3-6</x:v>
      </x:c>
      <x:c r="D30" s="207" t="n">
        <x:f>COUNTIF('Query Log'!$N$4:$N$53,A30)</x:f>
        <x:v>0</x:v>
      </x:c>
      <x:c r="E30" s="221" t="n">
        <x:f aca="0">D30/50</x:f>
        <x:v>0</x:v>
      </x:c>
      <x:c r="F30" s="198" t="str"/>
      <x:c r="G30" s="198" t="str"/>
      <x:c r="H30" s="198" t="str"/>
    </x:row>
    <x:row r="31" ht="19.5" hidden="0" customHeight="1">
      <x:c r="A31" s="107" t="str">
        <x:v>Too vague</x:v>
      </x:c>
      <x:c r="B31" s="107" t="str">
        <x:v>Answer is broad and avoids the specific question</x:v>
      </x:c>
      <x:c r="C31" s="106" t="str">
        <x:v>2-5</x:v>
      </x:c>
      <x:c r="D31" s="105" t="n">
        <x:f>COUNTIF('Query Log'!$N$4:$N$53,A31)</x:f>
        <x:v>0</x:v>
      </x:c>
      <x:c r="E31" s="222" t="n">
        <x:f aca="0">D31/50</x:f>
        <x:v>0</x:v>
      </x:c>
      <x:c r="F31" s="198" t="str"/>
      <x:c r="G31" s="198" t="str"/>
      <x:c r="H31" s="198" t="str"/>
    </x:row>
    <x:row r="32" ht="19.5" hidden="0" customHeight="1">
      <x:c r="A32" s="104" t="str">
        <x:v>Answer ignored context</x:v>
      </x:c>
      <x:c r="B32" s="104" t="str">
        <x:v>Answer appears to rely on model priors instead of retrieved context</x:v>
      </x:c>
      <x:c r="C32" s="199" t="str">
        <x:v>1-4</x:v>
      </x:c>
      <x:c r="D32" s="207" t="n">
        <x:f>COUNTIF('Query Log'!$N$4:$N$53,A32)</x:f>
        <x:v>0</x:v>
      </x:c>
      <x:c r="E32" s="221" t="n">
        <x:f aca="0">D32/50</x:f>
        <x:v>0</x:v>
      </x:c>
      <x:c r="F32" s="198" t="str"/>
      <x:c r="G32" s="198" t="str"/>
      <x:c r="H32" s="198" t="str"/>
    </x:row>
    <x:row r="33" ht="19.5" hidden="0" customHeight="1">
      <x:c r="A33" s="107" t="str">
        <x:v>Paraphrase mismatch</x:v>
      </x:c>
      <x:c r="B33" s="107" t="str">
        <x:v>Cosine score low despite a semantically correct answer</x:v>
      </x:c>
      <x:c r="C33" s="106" t="str">
        <x:v>3-5</x:v>
      </x:c>
      <x:c r="D33" s="105" t="n">
        <x:f>COUNTIF('Query Log'!$N$4:$N$53,A33)</x:f>
        <x:v>0</x:v>
      </x:c>
      <x:c r="E33" s="222" t="n">
        <x:f aca="0">D33/50</x:f>
        <x:v>0</x:v>
      </x:c>
      <x:c r="F33" s="198" t="str"/>
      <x:c r="G33" s="198" t="str"/>
      <x:c r="H33" s="198" t="str"/>
    </x:row>
    <x:row r="34">
      <x:c r="A34" s="200" t="str">
        <x:v>Multi-hop divergence</x:v>
      </x:c>
      <x:c r="B34" s="200" t="str">
        <x:v>Cosine and LLM-judge disagree on multi-hop answers</x:v>
      </x:c>
      <x:c r="C34" s="200" t="str">
        <x:v>4-7</x:v>
      </x:c>
      <x:c r="D34" s="200" t="n">
        <x:f>COUNTIF('Query Log'!$N$4:$N$53,A34)</x:f>
        <x:v>0</x:v>
      </x:c>
      <x:c r="E34" s="223" t="n">
        <x:f>D34/50</x:f>
        <x:v>0</x:v>
      </x:c>
      <x:c r="F34" s="198" t="str"/>
      <x:c r="G34" s="198" t="str"/>
      <x:c r="H34" s="198" t="str"/>
    </x:row>
    <x:row r="35">
      <x:c r="A35" s="200" t="str">
        <x:v>Context drift</x:v>
      </x:c>
      <x:c r="B35" s="200" t="str">
        <x:v>Answer relevant to query but weakly grounded in retrieved chunks</x:v>
      </x:c>
      <x:c r="C35" s="200" t="str">
        <x:v>2-4</x:v>
      </x:c>
      <x:c r="D35" s="200" t="n">
        <x:f>COUNTIF('Query Log'!$N$4:$N$53,A35)</x:f>
        <x:v>0</x:v>
      </x:c>
      <x:c r="E35" s="223" t="n">
        <x:f>D35/50</x:f>
        <x:v>0</x:v>
      </x:c>
      <x:c r="F35" s="198" t="str"/>
      <x:c r="G35" s="198" t="str"/>
      <x:c r="H35" s="198" t="str"/>
    </x:row>
    <x:row r="36">
      <x:c r="A36" s="200" t="str">
        <x:v>Hallucination missed</x:v>
      </x:c>
      <x:c r="B36" s="200" t="str">
        <x:v>Cosine high but answer contains unsupported claims</x:v>
      </x:c>
      <x:c r="C36" s="200" t="str">
        <x:v>1-3</x:v>
      </x:c>
      <x:c r="D36" s="200" t="n">
        <x:f>COUNTIF('Query Log'!$N$4:$N$53,A36)</x:f>
        <x:v>0</x:v>
      </x:c>
      <x:c r="E36" s="223" t="n">
        <x:f>D36/50</x:f>
        <x:v>0</x:v>
      </x:c>
      <x:c r="F36" s="198" t="str"/>
      <x:c r="G36" s="198" t="str"/>
      <x:c r="H36" s="198" t="str"/>
    </x:row>
    <x:row r="37">
      <x:c r="A37" s="200" t="str">
        <x:v>No answer</x:v>
      </x:c>
      <x:c r="B37" s="200" t="str">
        <x:v>Model says it cannot answer even though context exists</x:v>
      </x:c>
      <x:c r="C37" s="200" t="str">
        <x:v>0-3</x:v>
      </x:c>
      <x:c r="D37" s="200" t="n">
        <x:f>COUNTIF('Query Log'!$N$4:$N$53,A37)</x:f>
        <x:v>0</x:v>
      </x:c>
      <x:c r="E37" s="223" t="n">
        <x:f>D37/50</x:f>
        <x:v>0</x:v>
      </x:c>
      <x:c r="F37" s="198" t="str"/>
      <x:c r="G37" s="198" t="str"/>
      <x:c r="H37" s="198" t="str"/>
    </x:row>
    <x:row r="38">
      <x:c r="A38" s="200" t="str">
        <x:v>Other</x:v>
      </x:c>
      <x:c r="B38" s="200" t="str">
        <x:v>Other failure tagged manually</x:v>
      </x:c>
      <x:c r="C38" s="200" t="str">
        <x:v>0-3</x:v>
      </x:c>
      <x:c r="D38" s="200" t="n">
        <x:f>COUNTIF('Query Log'!$N$4:$N$53,A38)</x:f>
        <x:v>0</x:v>
      </x:c>
      <x:c r="E38" s="223" t="n">
        <x:f>D38/50</x:f>
        <x:v>0</x:v>
      </x:c>
      <x:c r="F38" s="198" t="str"/>
      <x:c r="G38" s="198" t="str"/>
      <x:c r="H38" s="198" t="str"/>
    </x:row>
    <x:row r="39">
      <x:c r="A39" s="198" t="str"/>
      <x:c r="B39" s="198" t="str"/>
      <x:c r="C39" s="198" t="str"/>
      <x:c r="D39" s="198" t="str"/>
      <x:c r="E39" s="198" t="str"/>
      <x:c r="F39" s="198" t="str"/>
      <x:c r="G39" s="198" t="str"/>
      <x:c r="H39" s="198" t="str"/>
    </x:row>
    <x:row r="40">
      <x:c r="A40" s="198" t="str"/>
      <x:c r="B40" s="198" t="str"/>
      <x:c r="C40" s="198" t="str"/>
      <x:c r="D40" s="198" t="str"/>
      <x:c r="E40" s="198" t="str"/>
      <x:c r="F40" s="198" t="str"/>
      <x:c r="G40" s="198" t="str"/>
      <x:c r="H40" s="198" t="str"/>
    </x:row>
    <x:row r="41">
      <x:c r="A41" s="198" t="str"/>
      <x:c r="B41" s="198" t="str"/>
      <x:c r="C41" s="198" t="str"/>
      <x:c r="D41" s="198" t="str"/>
      <x:c r="E41" s="198" t="str"/>
      <x:c r="F41" s="198" t="str"/>
      <x:c r="G41" s="198" t="str"/>
      <x:c r="H41" s="198" t="str"/>
    </x:row>
    <x:row r="42">
      <x:c r="A42" s="198" t="str"/>
      <x:c r="B42" s="198" t="str"/>
      <x:c r="C42" s="198" t="str"/>
      <x:c r="D42" s="198" t="str"/>
      <x:c r="E42" s="198" t="str"/>
      <x:c r="F42" s="198" t="str"/>
      <x:c r="G42" s="198" t="str"/>
      <x:c r="H42" s="198" t="str"/>
    </x:row>
    <x:row r="43">
      <x:c r="A43" s="198" t="str"/>
      <x:c r="B43" s="198" t="str"/>
      <x:c r="C43" s="198" t="str"/>
      <x:c r="D43" s="198" t="str"/>
      <x:c r="E43" s="198" t="str"/>
      <x:c r="F43" s="198" t="str"/>
      <x:c r="G43" s="198" t="str"/>
      <x:c r="H43" s="198" t="str"/>
    </x:row>
    <x:row r="44">
      <x:c r="A44" s="198" t="str"/>
      <x:c r="B44" s="198" t="str"/>
      <x:c r="C44" s="198" t="str"/>
      <x:c r="D44" s="198" t="str"/>
      <x:c r="E44" s="198" t="str"/>
      <x:c r="F44" s="198" t="str"/>
      <x:c r="G44" s="198" t="str"/>
      <x:c r="H44" s="198" t="str"/>
    </x:row>
    <x:row r="45">
      <x:c r="A45" s="198" t="str"/>
      <x:c r="B45" s="198" t="str"/>
      <x:c r="C45" s="198" t="str"/>
      <x:c r="D45" s="198" t="str"/>
      <x:c r="E45" s="198" t="str"/>
      <x:c r="F45" s="198" t="str"/>
      <x:c r="G45" s="198" t="str"/>
      <x:c r="H45" s="198" t="str"/>
    </x:row>
    <x:row r="46">
      <x:c r="A46" s="198" t="str"/>
      <x:c r="B46" s="198" t="str"/>
      <x:c r="C46" s="198" t="str"/>
      <x:c r="D46" s="198" t="str"/>
      <x:c r="E46" s="198" t="str"/>
      <x:c r="F46" s="198" t="str"/>
      <x:c r="G46" s="198" t="str"/>
      <x:c r="H46" s="198" t="str"/>
    </x:row>
    <x:row r="47">
      <x:c r="A47" s="198" t="str"/>
      <x:c r="B47" s="198" t="str"/>
      <x:c r="C47" s="198" t="str"/>
      <x:c r="D47" s="198" t="str"/>
      <x:c r="E47" s="198" t="str"/>
      <x:c r="F47" s="198" t="str"/>
      <x:c r="G47" s="198" t="str"/>
      <x:c r="H47" s="198" t="str"/>
    </x:row>
    <x:row r="48">
      <x:c r="A48" s="198" t="str"/>
      <x:c r="B48" s="198" t="str"/>
      <x:c r="C48" s="198" t="str"/>
      <x:c r="D48" s="198" t="str"/>
      <x:c r="E48" s="198" t="str"/>
      <x:c r="F48" s="198" t="str"/>
      <x:c r="G48" s="198" t="str"/>
      <x:c r="H48" s="198" t="str"/>
    </x:row>
    <x:row r="49">
      <x:c r="A49" s="198" t="str"/>
      <x:c r="B49" s="198" t="str"/>
      <x:c r="C49" s="198" t="str"/>
      <x:c r="D49" s="198" t="str"/>
      <x:c r="E49" s="198" t="str"/>
      <x:c r="F49" s="198" t="str"/>
      <x:c r="G49" s="198" t="str"/>
      <x:c r="H49" s="198" t="str"/>
    </x:row>
    <x:row r="50">
      <x:c r="A50" s="198" t="str"/>
      <x:c r="B50" s="198" t="str"/>
      <x:c r="C50" s="198" t="str"/>
      <x:c r="D50" s="198" t="str"/>
      <x:c r="E50" s="198" t="str"/>
      <x:c r="F50" s="198" t="str"/>
      <x:c r="G50" s="198" t="str"/>
      <x:c r="H50" s="198" t="str"/>
    </x:row>
    <x:row r="51">
      <x:c r="A51" s="198" t="str"/>
      <x:c r="B51" s="198" t="str"/>
      <x:c r="C51" s="198" t="str"/>
      <x:c r="D51" s="198" t="str"/>
      <x:c r="E51" s="198" t="str"/>
      <x:c r="F51" s="198" t="str"/>
      <x:c r="G51" s="198" t="str"/>
      <x:c r="H51" s="198" t="str"/>
    </x:row>
    <x:row r="52">
      <x:c r="A52" s="198" t="str"/>
      <x:c r="B52" s="198" t="str"/>
      <x:c r="C52" s="198" t="str"/>
      <x:c r="D52" s="198" t="str"/>
      <x:c r="E52" s="198" t="str"/>
      <x:c r="F52" s="198" t="str"/>
      <x:c r="G52" s="198" t="str"/>
      <x:c r="H52" s="198" t="str"/>
    </x:row>
    <x:row r="53">
      <x:c r="A53" s="198" t="str"/>
      <x:c r="B53" s="198" t="str"/>
      <x:c r="C53" s="198" t="str"/>
      <x:c r="D53" s="198" t="str"/>
      <x:c r="E53" s="198" t="str"/>
      <x:c r="F53" s="198" t="str"/>
      <x:c r="G53" s="198" t="str"/>
      <x:c r="H53" s="198" t="str"/>
    </x:row>
    <x:row r="54">
      <x:c r="A54" s="198" t="str"/>
      <x:c r="B54" s="198" t="str"/>
      <x:c r="C54" s="198" t="str"/>
      <x:c r="D54" s="198" t="str"/>
      <x:c r="E54" s="198" t="str"/>
      <x:c r="F54" s="198" t="str"/>
      <x:c r="G54" s="198" t="str"/>
      <x:c r="H54" s="198" t="str"/>
    </x:row>
    <x:row r="55">
      <x:c r="A55" s="198" t="str"/>
      <x:c r="B55" s="198" t="str"/>
      <x:c r="C55" s="198" t="str"/>
      <x:c r="D55" s="198" t="str"/>
      <x:c r="E55" s="198" t="str"/>
      <x:c r="F55" s="198" t="str"/>
      <x:c r="G55" s="198" t="str"/>
      <x:c r="H55" s="198" t="str"/>
    </x:row>
    <x:row r="56">
      <x:c r="A56" s="198" t="str"/>
      <x:c r="B56" s="198" t="str"/>
      <x:c r="C56" s="198" t="str"/>
      <x:c r="D56" s="198" t="str"/>
      <x:c r="E56" s="198" t="str"/>
      <x:c r="F56" s="198" t="str"/>
      <x:c r="G56" s="198" t="str"/>
      <x:c r="H56" s="198" t="str"/>
    </x:row>
    <x:row r="57">
      <x:c r="A57" s="198" t="str"/>
      <x:c r="B57" s="198" t="str"/>
      <x:c r="C57" s="198" t="str"/>
      <x:c r="D57" s="198" t="str"/>
      <x:c r="E57" s="198" t="str"/>
      <x:c r="F57" s="198" t="str"/>
      <x:c r="G57" s="198" t="str"/>
      <x:c r="H57" s="198" t="str"/>
    </x:row>
    <x:row r="58">
      <x:c r="A58" s="198" t="str"/>
      <x:c r="B58" s="198" t="str"/>
      <x:c r="C58" s="198" t="str"/>
      <x:c r="D58" s="198" t="str"/>
      <x:c r="E58" s="198" t="str"/>
      <x:c r="F58" s="198" t="str"/>
      <x:c r="G58" s="198" t="str"/>
      <x:c r="H58" s="198" t="str"/>
    </x:row>
    <x:row r="59">
      <x:c r="A59" s="198" t="str"/>
      <x:c r="B59" s="198" t="str"/>
      <x:c r="C59" s="198" t="str"/>
      <x:c r="D59" s="198" t="str"/>
      <x:c r="E59" s="198" t="str"/>
      <x:c r="F59" s="198" t="str"/>
      <x:c r="G59" s="198" t="str"/>
      <x:c r="H59" s="198" t="str"/>
    </x:row>
    <x:row r="60">
      <x:c r="A60" s="198" t="str"/>
      <x:c r="B60" s="198" t="str"/>
      <x:c r="C60" s="198" t="str"/>
      <x:c r="D60" s="198" t="str"/>
      <x:c r="E60" s="198" t="str"/>
      <x:c r="F60" s="198" t="str"/>
      <x:c r="G60" s="198" t="str"/>
      <x:c r="H60" s="198" t="str"/>
    </x:row>
  </x:sheetData>
  <x:mergeCells>
    <x:mergeCell ref="A1:E1"/>
    <x:mergeCell ref="A3:E3"/>
    <x:mergeCell ref="A11:E11"/>
    <x:mergeCell ref="A20:E20"/>
    <x:mergeCell ref="A28:E28"/>
    <x:mergeCell ref="A1:H1"/>
    <x:mergeCell ref="A20:F20"/>
  </x:mergeCells>
  <x:pageMargins left="0.7" right="0.7" top="0.75" bottom="0.75" header="0.3" footer="0.3"/>
</x:worksheet>
</file>