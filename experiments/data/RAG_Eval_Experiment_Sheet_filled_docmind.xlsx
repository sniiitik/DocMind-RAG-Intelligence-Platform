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Query Log" sheetId="2" state="visible" r:id="rId2"/>
    <sheet name="Analysis" sheetId="3" state="visible" r:id="rId3"/>
  </sheets>
  <definedNames/>
</workbook>
</file>

<file path=xl/styles.xml><?xml version="1.0" encoding="utf-8"?>
<styleSheet xmlns="http://schemas.openxmlformats.org/spreadsheetml/2006/main">
  <numFmts count="3">
    <numFmt numFmtId="164" formatCode="0.000"/>
    <numFmt numFmtId="165" formatCode="0.0%"/>
    <numFmt numFmtId="166" formatCode="$0.0000"/>
  </numFmts>
  <fonts count="18">
    <font>
      <name val="Calibri"/>
      <color theme="1"/>
      <sz val="11"/>
    </font>
    <font>
      <name val="Arial"/>
      <sz val="10"/>
    </font>
    <font>
      <name val="Arial"/>
      <sz val="10"/>
    </font>
    <font>
      <name val="Arial"/>
      <sz val="10"/>
    </font>
    <font>
      <name val="Arial"/>
      <b val="1"/>
      <color rgb="00FFFFFF"/>
      <sz val="13"/>
    </font>
    <font>
      <name val="Arial"/>
      <b val="1"/>
      <color rgb="00000000"/>
      <sz val="10"/>
    </font>
    <font>
      <name val="Arial"/>
      <color rgb="00000000"/>
      <sz val="10"/>
    </font>
    <font>
      <name val="Arial"/>
      <b val="1"/>
      <color rgb="00FFFFFF"/>
      <sz val="12"/>
    </font>
    <font>
      <name val="Arial"/>
      <b val="1"/>
      <color rgb="00FFFFFF"/>
      <sz val="9"/>
    </font>
    <font>
      <name val="Arial"/>
      <color rgb="00000000"/>
      <sz val="9"/>
    </font>
    <font>
      <name val="Arial"/>
      <b val="1"/>
      <color rgb="00000000"/>
      <sz val="9"/>
    </font>
    <font>
      <name val="Arial"/>
      <color rgb="001A56DB"/>
      <sz val="9"/>
    </font>
    <font>
      <name val="Arial"/>
      <b val="1"/>
      <color rgb="00FFFFFF"/>
      <sz val="16"/>
    </font>
    <font>
      <name val="Arial"/>
      <b val="1"/>
      <color rgb="00111827"/>
      <sz val="10"/>
    </font>
    <font>
      <name val="Consolas"/>
      <color rgb="00000000"/>
      <sz val="9"/>
    </font>
    <font>
      <name val="Arial"/>
      <b val="1"/>
      <color rgb="00111827"/>
      <sz val="9"/>
    </font>
    <font>
      <name val="Calibri"/>
      <b val="1"/>
      <color rgb="00111827"/>
      <sz val="11"/>
    </font>
    <font>
      <name val="Calibri"/>
      <b val="1"/>
      <color rgb="00FFFFFF"/>
      <sz val="11"/>
    </font>
  </fonts>
  <fills count="19">
    <fill>
      <patternFill/>
    </fill>
    <fill>
      <patternFill patternType="gray125"/>
    </fill>
    <fill>
      <patternFill patternType="solid">
        <fgColor rgb="001F2D3D"/>
      </patternFill>
    </fill>
    <fill>
      <patternFill patternType="solid">
        <fgColor rgb="002E4057"/>
      </patternFill>
    </fill>
    <fill>
      <patternFill patternType="solid">
        <fgColor rgb="001A56DB"/>
      </patternFill>
    </fill>
    <fill>
      <patternFill patternType="solid">
        <fgColor rgb="00117A65"/>
      </patternFill>
    </fill>
    <fill>
      <patternFill patternType="solid">
        <fgColor rgb="00A04000"/>
      </patternFill>
    </fill>
    <fill>
      <patternFill patternType="solid">
        <fgColor rgb="00D6E4F0"/>
      </patternFill>
    </fill>
    <fill>
      <patternFill patternType="solid">
        <fgColor rgb="00F7F9FC"/>
      </patternFill>
    </fill>
    <fill>
      <patternFill patternType="solid">
        <fgColor rgb="00FFFFFF"/>
      </patternFill>
    </fill>
    <fill>
      <patternFill patternType="solid">
        <fgColor rgb="00D6F0E0"/>
      </patternFill>
    </fill>
    <fill>
      <patternFill patternType="solid">
        <fgColor rgb="00FFF3CD"/>
      </patternFill>
    </fill>
    <fill>
      <patternFill patternType="solid">
        <fgColor rgb="001F4E78"/>
      </patternFill>
    </fill>
    <fill>
      <patternFill patternType="solid">
        <fgColor rgb="00D9EAF7"/>
      </patternFill>
    </fill>
    <fill>
      <patternFill patternType="solid">
        <fgColor rgb="00F9FAFB"/>
      </patternFill>
    </fill>
    <fill>
      <patternFill patternType="solid">
        <fgColor rgb="00E5E7EB"/>
      </patternFill>
    </fill>
    <fill>
      <patternFill patternType="solid">
        <fgColor rgb="00E2F0D9"/>
      </patternFill>
    </fill>
    <fill>
      <patternFill patternType="solid">
        <fgColor rgb="00FFF2CC"/>
      </patternFill>
    </fill>
    <fill>
      <patternFill patternType="solid">
        <fgColor rgb="00FFFFFF"/>
      </patternFill>
    </fill>
  </fills>
  <borders count="8">
    <border/>
    <border>
      <left style="thin">
        <color rgb="00CCCCCC"/>
      </left>
      <right style="thin">
        <color rgb="00CCCCCC"/>
      </right>
      <top style="thin">
        <color rgb="00CCCCCC"/>
      </top>
      <bottom style="thin">
        <color rgb="00CCCCCC"/>
      </bottom>
    </border>
    <border/>
    <border>
      <left style="thin">
        <color rgb="00CCCCCC"/>
      </left>
      <right style="thin">
        <color rgb="00CCCCCC"/>
      </right>
      <top style="thin">
        <color rgb="00CCCCCC"/>
      </top>
      <bottom style="thin">
        <color rgb="00CCCCCC"/>
      </bottom>
    </border>
    <border>
      <top style="thin">
        <color rgb="00CCCCCC"/>
      </top>
    </border>
    <border>
      <right style="thin">
        <color rgb="00CCCCCC"/>
      </right>
      <top style="thin">
        <color rgb="00CCCCCC"/>
      </top>
    </border>
    <border>
      <top style="thin">
        <color rgb="00CCCCCC"/>
      </top>
      <bottom style="thin">
        <color rgb="00CCCCCC"/>
      </bottom>
    </border>
    <border>
      <right style="thin">
        <color rgb="00CCCCCC"/>
      </right>
      <top style="thin">
        <color rgb="00CCCCCC"/>
      </top>
      <bottom style="thin">
        <color rgb="00CCCCCC"/>
      </bottom>
    </border>
  </borders>
  <cellStyleXfs count="6">
    <xf numFmtId="0" fontId="0" fillId="0" borderId="2" applyAlignment="1">
      <alignment horizontal="general" vertical="bottom"/>
    </xf>
    <xf numFmtId="43" fontId="3" fillId="0" borderId="2"/>
    <xf numFmtId="41" fontId="3" fillId="0" borderId="2"/>
    <xf numFmtId="44" fontId="3" fillId="0" borderId="2"/>
    <xf numFmtId="42" fontId="3" fillId="0" borderId="2"/>
    <xf numFmtId="9" fontId="3" fillId="0" borderId="2"/>
  </cellStyleXfs>
  <cellXfs count="27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8" fillId="2" borderId="1"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0" fillId="0" borderId="2" applyAlignment="1" pivotButton="0" quotePrefix="0" xfId="0">
      <alignment horizontal="general" vertical="bottom"/>
    </xf>
    <xf numFmtId="0" fontId="4" fillId="2" borderId="3" applyAlignment="1" pivotButton="0" quotePrefix="0" xfId="0">
      <alignment horizontal="center"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7" fillId="2" borderId="3" applyAlignment="1" pivotButton="0" quotePrefix="0" xfId="0">
      <alignment horizontal="center" vertical="center" wrapText="1"/>
    </xf>
    <xf numFmtId="0" fontId="8" fillId="3" borderId="3" applyAlignment="1" pivotButton="0" quotePrefix="0" xfId="0">
      <alignment horizontal="center" vertical="center" wrapText="1"/>
    </xf>
    <xf numFmtId="0" fontId="8" fillId="4" borderId="3" applyAlignment="1" pivotButton="0" quotePrefix="0" xfId="0">
      <alignment horizontal="center" vertical="center" wrapText="1"/>
    </xf>
    <xf numFmtId="0" fontId="8" fillId="5" borderId="3" applyAlignment="1" pivotButton="0" quotePrefix="0" xfId="0">
      <alignment horizontal="center" vertical="center" wrapText="1"/>
    </xf>
    <xf numFmtId="0" fontId="8"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7"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8" borderId="3" applyAlignment="1" pivotButton="0" quotePrefix="0" xfId="0">
      <alignment horizontal="left" vertical="center" wrapText="1"/>
    </xf>
    <xf numFmtId="0" fontId="11" fillId="9" borderId="3" applyAlignment="1" pivotButton="0" quotePrefix="0" xfId="0">
      <alignment horizontal="center" vertical="center" wrapText="1"/>
    </xf>
    <xf numFmtId="0" fontId="9" fillId="9" borderId="3" applyAlignment="1" pivotButton="0" quotePrefix="0" xfId="0">
      <alignment horizontal="center" vertical="center" wrapText="1"/>
    </xf>
    <xf numFmtId="0" fontId="9" fillId="9" borderId="3" applyAlignment="1" pivotButton="0" quotePrefix="0" xfId="0">
      <alignment horizontal="left" vertical="center" wrapText="1"/>
    </xf>
    <xf numFmtId="0" fontId="9" fillId="10" borderId="3" applyAlignment="1" pivotButton="0" quotePrefix="0" xfId="0">
      <alignment horizontal="center" vertical="center" wrapText="1"/>
    </xf>
    <xf numFmtId="0" fontId="10" fillId="10" borderId="3" applyAlignment="1" pivotButton="0" quotePrefix="0" xfId="0">
      <alignment horizontal="center" vertical="center" wrapText="1"/>
    </xf>
    <xf numFmtId="0" fontId="9" fillId="10" borderId="3" applyAlignment="1" pivotButton="0" quotePrefix="0" xfId="0">
      <alignment horizontal="left" vertical="center" wrapText="1"/>
    </xf>
    <xf numFmtId="0" fontId="9" fillId="11" borderId="3" applyAlignment="1" pivotButton="0" quotePrefix="0" xfId="0">
      <alignment horizontal="center" vertical="center" wrapText="1"/>
    </xf>
    <xf numFmtId="0" fontId="10" fillId="11" borderId="3" applyAlignment="1" pivotButton="0" quotePrefix="0" xfId="0">
      <alignment horizontal="center" vertical="center" wrapText="1"/>
    </xf>
    <xf numFmtId="0" fontId="9" fillId="11" borderId="3" applyAlignment="1" pivotButton="0" quotePrefix="0" xfId="0">
      <alignment horizontal="left" vertical="center" wrapText="1"/>
    </xf>
    <xf numFmtId="0" fontId="8" fillId="2" borderId="3" applyAlignment="1" pivotButton="0" quotePrefix="0" xfId="0">
      <alignment horizontal="center" vertical="center" wrapText="1"/>
    </xf>
    <xf numFmtId="0" fontId="10" fillId="9" borderId="3" applyAlignment="1" pivotButton="0" quotePrefix="0" xfId="0">
      <alignment horizontal="left" vertical="center" wrapText="1"/>
    </xf>
    <xf numFmtId="164" fontId="11" fillId="9" borderId="3" applyAlignment="1" pivotButton="0" quotePrefix="0" xfId="0">
      <alignment horizontal="center" vertical="center" wrapText="1"/>
    </xf>
    <xf numFmtId="0" fontId="10" fillId="8" borderId="3" applyAlignment="1" pivotButton="0" quotePrefix="0" xfId="0">
      <alignment horizontal="left" vertical="center" wrapText="1"/>
    </xf>
    <xf numFmtId="164" fontId="11" fillId="8" borderId="3" applyAlignment="1" pivotButton="0" quotePrefix="0" xfId="0">
      <alignment horizontal="center" vertical="center" wrapText="1"/>
    </xf>
    <xf numFmtId="0" fontId="9" fillId="8" borderId="3" applyAlignment="1" pivotButton="0" quotePrefix="0" xfId="0">
      <alignment horizontal="center" vertical="center" wrapText="1"/>
    </xf>
    <xf numFmtId="0" fontId="11" fillId="8" borderId="3" applyAlignment="1" pivotButton="0" quotePrefix="0" xfId="0">
      <alignment horizontal="center" vertical="center" wrapText="1"/>
    </xf>
    <xf numFmtId="165" fontId="9" fillId="8" borderId="3" applyAlignment="1" pivotButton="0" quotePrefix="0" xfId="0">
      <alignment horizontal="center" vertical="center" wrapText="1"/>
    </xf>
    <xf numFmtId="165" fontId="9" fillId="9" borderId="3" applyAlignment="1" pivotButton="0" quotePrefix="0" xfId="0">
      <alignment horizontal="center" vertical="center" wrapText="1"/>
    </xf>
    <xf numFmtId="0" fontId="4" fillId="12" borderId="1" applyAlignment="1" pivotButton="0" quotePrefix="0" xfId="0">
      <alignment horizontal="center" vertical="center" wrapText="1"/>
    </xf>
    <xf numFmtId="0" fontId="12" fillId="12" borderId="1" applyAlignment="1" pivotButton="0" quotePrefix="0" xfId="0">
      <alignment horizontal="center" vertical="center" wrapText="1"/>
    </xf>
    <xf numFmtId="0" fontId="4" fillId="12" borderId="3" applyAlignment="1" pivotButton="0" quotePrefix="0" xfId="0">
      <alignment horizontal="center" vertical="center" wrapText="1"/>
    </xf>
    <xf numFmtId="0" fontId="12" fillId="12" borderId="3" applyAlignment="1" pivotButton="0" quotePrefix="0" xfId="0">
      <alignment horizontal="center" vertical="center" wrapText="1"/>
    </xf>
    <xf numFmtId="0" fontId="5" fillId="13" borderId="0" applyAlignment="1" pivotButton="0" quotePrefix="0" xfId="0">
      <alignment horizontal="left" vertical="center" wrapText="1"/>
    </xf>
    <xf numFmtId="0" fontId="13" fillId="13" borderId="0" applyAlignment="1" pivotButton="0" quotePrefix="0" xfId="0">
      <alignment horizontal="left" vertical="center" wrapText="1"/>
    </xf>
    <xf numFmtId="0" fontId="5" fillId="13" borderId="2" applyAlignment="1" pivotButton="0" quotePrefix="0" xfId="0">
      <alignment horizontal="left" vertical="center" wrapText="1"/>
    </xf>
    <xf numFmtId="0" fontId="13" fillId="13" borderId="2" applyAlignment="1" pivotButton="0" quotePrefix="0" xfId="0">
      <alignment horizontal="left" vertical="center" wrapText="1"/>
    </xf>
    <xf numFmtId="0" fontId="6" fillId="13" borderId="0" applyAlignment="1" pivotButton="0" quotePrefix="0" xfId="0">
      <alignment horizontal="left" vertical="center" wrapText="1"/>
    </xf>
    <xf numFmtId="0" fontId="6" fillId="13" borderId="2"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14" borderId="0" applyAlignment="1" pivotButton="0" quotePrefix="0" xfId="0">
      <alignment horizontal="left" vertical="center" wrapText="1"/>
    </xf>
    <xf numFmtId="0" fontId="14" fillId="14" borderId="0" applyAlignment="1" pivotButton="0" quotePrefix="0" xfId="0">
      <alignment horizontal="left" vertical="center" wrapText="1"/>
    </xf>
    <xf numFmtId="0" fontId="14" fillId="14" borderId="0" applyAlignment="1" pivotButton="0" quotePrefix="0" xfId="0">
      <alignment horizontal="left" vertical="top" wrapText="1"/>
    </xf>
    <xf numFmtId="0" fontId="6" fillId="14" borderId="2" applyAlignment="1" pivotButton="0" quotePrefix="0" xfId="0">
      <alignment horizontal="left"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left" vertical="top" wrapText="1"/>
    </xf>
    <xf numFmtId="0" fontId="7" fillId="12" borderId="1" applyAlignment="1" pivotButton="0" quotePrefix="0" xfId="0">
      <alignment horizontal="center" vertical="center" wrapText="1"/>
    </xf>
    <xf numFmtId="0" fontId="7" fillId="12" borderId="3" applyAlignment="1" pivotButton="0" quotePrefix="0" xfId="0">
      <alignment horizontal="center" vertical="center" wrapText="1"/>
    </xf>
    <xf numFmtId="0" fontId="8"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8" fillId="15" borderId="3"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8" fillId="12" borderId="3"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9" fillId="7" borderId="1" applyAlignment="1" pivotButton="0" quotePrefix="0" xfId="0">
      <alignment horizontal="center" vertical="top" wrapText="1"/>
    </xf>
    <xf numFmtId="0" fontId="10" fillId="7" borderId="1" applyAlignment="1" pivotButton="0" quotePrefix="0" xfId="0">
      <alignment horizontal="center"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11" fillId="9" borderId="1" applyAlignment="1" pivotButton="0" quotePrefix="0" xfId="0">
      <alignment horizontal="center" vertical="top" wrapText="1"/>
    </xf>
    <xf numFmtId="0" fontId="9" fillId="9" borderId="1" applyAlignment="1" pivotButton="0" quotePrefix="0" xfId="0">
      <alignment horizontal="center" vertical="top" wrapText="1"/>
    </xf>
    <xf numFmtId="0" fontId="9" fillId="9" borderId="1" applyAlignment="1" pivotButton="0" quotePrefix="0" xfId="0">
      <alignment horizontal="left" vertical="top" wrapText="1"/>
    </xf>
    <xf numFmtId="0" fontId="9" fillId="10" borderId="1" applyAlignment="1" pivotButton="0" quotePrefix="0" xfId="0">
      <alignment horizontal="center" vertical="top" wrapText="1"/>
    </xf>
    <xf numFmtId="0" fontId="10" fillId="10" borderId="1" applyAlignment="1" pivotButton="0" quotePrefix="0" xfId="0">
      <alignment horizontal="center" vertical="top" wrapText="1"/>
    </xf>
    <xf numFmtId="0" fontId="9" fillId="10" borderId="1" applyAlignment="1" pivotButton="0" quotePrefix="0" xfId="0">
      <alignment horizontal="left" vertical="top" wrapText="1"/>
    </xf>
    <xf numFmtId="0" fontId="9" fillId="11" borderId="1" applyAlignment="1" pivotButton="0" quotePrefix="0" xfId="0">
      <alignment horizontal="center" vertical="top" wrapText="1"/>
    </xf>
    <xf numFmtId="0" fontId="10" fillId="11" borderId="1" applyAlignment="1" pivotButton="0" quotePrefix="0" xfId="0">
      <alignment horizontal="center" vertical="top" wrapText="1"/>
    </xf>
    <xf numFmtId="0" fontId="9" fillId="11" borderId="1" applyAlignment="1" pivotButton="0" quotePrefix="0" xfId="0">
      <alignment horizontal="left" vertical="top" wrapText="1"/>
    </xf>
    <xf numFmtId="0" fontId="9" fillId="7" borderId="3" applyAlignment="1" pivotButton="0" quotePrefix="0" xfId="0">
      <alignment horizontal="center" vertical="top" wrapText="1"/>
    </xf>
    <xf numFmtId="0" fontId="10" fillId="7" borderId="3" applyAlignment="1" pivotButton="0" quotePrefix="0" xfId="0">
      <alignment horizontal="center" vertical="top" wrapText="1"/>
    </xf>
    <xf numFmtId="0" fontId="9" fillId="7" borderId="3" applyAlignment="1" pivotButton="0" quotePrefix="0" xfId="0">
      <alignment horizontal="left" vertical="top" wrapText="1"/>
    </xf>
    <xf numFmtId="0" fontId="9" fillId="8" borderId="3" applyAlignment="1" pivotButton="0" quotePrefix="0" xfId="0">
      <alignment horizontal="left" vertical="top" wrapText="1"/>
    </xf>
    <xf numFmtId="0" fontId="11" fillId="9" borderId="3" applyAlignment="1" pivotButton="0" quotePrefix="0" xfId="0">
      <alignment horizontal="center" vertical="top" wrapText="1"/>
    </xf>
    <xf numFmtId="0" fontId="9" fillId="9" borderId="3" applyAlignment="1" pivotButton="0" quotePrefix="0" xfId="0">
      <alignment horizontal="center" vertical="top" wrapText="1"/>
    </xf>
    <xf numFmtId="0" fontId="9" fillId="9" borderId="3" applyAlignment="1" pivotButton="0" quotePrefix="0" xfId="0">
      <alignment horizontal="left" vertical="top" wrapText="1"/>
    </xf>
    <xf numFmtId="0" fontId="9" fillId="10" borderId="3" applyAlignment="1" pivotButton="0" quotePrefix="0" xfId="0">
      <alignment horizontal="center" vertical="top" wrapText="1"/>
    </xf>
    <xf numFmtId="0" fontId="10" fillId="10" borderId="3" applyAlignment="1" pivotButton="0" quotePrefix="0" xfId="0">
      <alignment horizontal="center" vertical="top" wrapText="1"/>
    </xf>
    <xf numFmtId="0" fontId="9" fillId="10" borderId="3" applyAlignment="1" pivotButton="0" quotePrefix="0" xfId="0">
      <alignment horizontal="left" vertical="top" wrapText="1"/>
    </xf>
    <xf numFmtId="0" fontId="9" fillId="11" borderId="3" applyAlignment="1" pivotButton="0" quotePrefix="0" xfId="0">
      <alignment horizontal="center" vertical="top" wrapText="1"/>
    </xf>
    <xf numFmtId="0" fontId="10" fillId="11" borderId="3" applyAlignment="1" pivotButton="0" quotePrefix="0" xfId="0">
      <alignment horizontal="center" vertical="top" wrapText="1"/>
    </xf>
    <xf numFmtId="0" fontId="9" fillId="11" borderId="3" applyAlignment="1" pivotButton="0" quotePrefix="0" xfId="0">
      <alignment horizontal="left" vertical="top"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11" fillId="13" borderId="1" applyAlignment="1" pivotButton="0" quotePrefix="0" xfId="0">
      <alignment horizontal="center" vertical="top" wrapText="1"/>
    </xf>
    <xf numFmtId="0" fontId="9" fillId="13" borderId="3" applyAlignment="1" pivotButton="0" quotePrefix="0" xfId="0">
      <alignment horizontal="center" vertical="top" wrapText="1"/>
    </xf>
    <xf numFmtId="0" fontId="10" fillId="13" borderId="3" applyAlignment="1" pivotButton="0" quotePrefix="0" xfId="0">
      <alignment horizontal="center" vertical="top" wrapText="1"/>
    </xf>
    <xf numFmtId="0" fontId="9" fillId="13" borderId="3" applyAlignment="1" pivotButton="0" quotePrefix="0" xfId="0">
      <alignment horizontal="left" vertical="top" wrapText="1"/>
    </xf>
    <xf numFmtId="0" fontId="11" fillId="13" borderId="3"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11" fillId="16" borderId="1" applyAlignment="1" pivotButton="0" quotePrefix="0" xfId="0">
      <alignment horizontal="center" vertical="top" wrapText="1"/>
    </xf>
    <xf numFmtId="0" fontId="9" fillId="16" borderId="3" applyAlignment="1" pivotButton="0" quotePrefix="0" xfId="0">
      <alignment horizontal="center" vertical="top" wrapText="1"/>
    </xf>
    <xf numFmtId="0" fontId="10" fillId="16" borderId="3" applyAlignment="1" pivotButton="0" quotePrefix="0" xfId="0">
      <alignment horizontal="center" vertical="top" wrapText="1"/>
    </xf>
    <xf numFmtId="0" fontId="9" fillId="16" borderId="3" applyAlignment="1" pivotButton="0" quotePrefix="0" xfId="0">
      <alignment horizontal="left" vertical="top" wrapText="1"/>
    </xf>
    <xf numFmtId="0" fontId="11" fillId="16" borderId="3" applyAlignment="1" pivotButton="0" quotePrefix="0" xfId="0">
      <alignment horizontal="center"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11" fillId="17" borderId="1" applyAlignment="1" pivotButton="0" quotePrefix="0" xfId="0">
      <alignment horizontal="center" vertical="top" wrapText="1"/>
    </xf>
    <xf numFmtId="0" fontId="9" fillId="17" borderId="3" applyAlignment="1" pivotButton="0" quotePrefix="0" xfId="0">
      <alignment horizontal="center" vertical="top" wrapText="1"/>
    </xf>
    <xf numFmtId="0" fontId="10" fillId="17" borderId="3" applyAlignment="1" pivotButton="0" quotePrefix="0" xfId="0">
      <alignment horizontal="center" vertical="top" wrapText="1"/>
    </xf>
    <xf numFmtId="0" fontId="9" fillId="17" borderId="3" applyAlignment="1" pivotButton="0" quotePrefix="0" xfId="0">
      <alignment horizontal="left" vertical="top" wrapText="1"/>
    </xf>
    <xf numFmtId="0" fontId="11" fillId="17" borderId="3" applyAlignment="1" pivotButton="0" quotePrefix="0" xfId="0">
      <alignment horizontal="center" vertical="top" wrapText="1"/>
    </xf>
    <xf numFmtId="0" fontId="9" fillId="18" borderId="1" applyAlignment="1" pivotButton="0" quotePrefix="0" xfId="0">
      <alignment horizontal="left" vertical="top" wrapText="1"/>
    </xf>
    <xf numFmtId="0" fontId="9" fillId="18" borderId="3" applyAlignment="1" pivotButton="0" quotePrefix="0" xfId="0">
      <alignment horizontal="left" vertical="top" wrapText="1"/>
    </xf>
    <xf numFmtId="0" fontId="11" fillId="18" borderId="1" applyAlignment="1" pivotButton="0" quotePrefix="0" xfId="0">
      <alignment horizontal="center" vertical="top" wrapText="1"/>
    </xf>
    <xf numFmtId="0" fontId="11" fillId="18" borderId="3" applyAlignment="1" pivotButton="0" quotePrefix="0" xfId="0">
      <alignment horizontal="center" vertical="top" wrapText="1"/>
    </xf>
    <xf numFmtId="0" fontId="9" fillId="18" borderId="1" applyAlignment="1" pivotButton="0" quotePrefix="0" xfId="0">
      <alignment horizontal="center" vertical="top" wrapText="1"/>
    </xf>
    <xf numFmtId="0" fontId="9" fillId="18" borderId="3" applyAlignment="1" pivotButton="0" quotePrefix="0" xfId="0">
      <alignment horizontal="center" vertical="top" wrapText="1"/>
    </xf>
    <xf numFmtId="2" fontId="11" fillId="18" borderId="1" applyAlignment="1" pivotButton="0" quotePrefix="0" xfId="0">
      <alignment horizontal="center" vertical="top" wrapText="1"/>
    </xf>
    <xf numFmtId="2" fontId="11" fillId="18" borderId="3" applyAlignment="1" pivotButton="0" quotePrefix="0" xfId="0">
      <alignment horizontal="center" vertical="top" wrapText="1"/>
    </xf>
    <xf numFmtId="0" fontId="8" fillId="13" borderId="1" applyAlignment="1" pivotButton="0" quotePrefix="0" xfId="0">
      <alignment horizontal="center" vertical="center" wrapText="1"/>
    </xf>
    <xf numFmtId="0" fontId="15" fillId="13" borderId="1" applyAlignment="1" pivotButton="0" quotePrefix="0" xfId="0">
      <alignment horizontal="center" vertical="center" wrapText="1"/>
    </xf>
    <xf numFmtId="0" fontId="15" fillId="13" borderId="1" applyAlignment="1" pivotButton="0" quotePrefix="0" xfId="0">
      <alignment horizontal="left" vertical="center" wrapText="1"/>
    </xf>
    <xf numFmtId="0" fontId="8" fillId="13"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3" borderId="3" applyAlignment="1" pivotButton="0" quotePrefix="0" xfId="0">
      <alignment horizontal="left" vertical="center" wrapText="1"/>
    </xf>
    <xf numFmtId="0" fontId="0" fillId="13" borderId="0" applyAlignment="1" pivotButton="0" quotePrefix="0" xfId="0">
      <alignment horizontal="general" vertical="bottom"/>
    </xf>
    <xf numFmtId="0" fontId="16" fillId="13" borderId="0" applyAlignment="1" pivotButton="0" quotePrefix="0" xfId="0">
      <alignment horizontal="general" vertical="bottom"/>
    </xf>
    <xf numFmtId="0" fontId="16" fillId="13" borderId="0" applyAlignment="1" pivotButton="0" quotePrefix="0" xfId="0">
      <alignment horizontal="general" vertical="bottom" wrapText="1"/>
    </xf>
    <xf numFmtId="0" fontId="16" fillId="13" borderId="0" applyAlignment="1" pivotButton="0" quotePrefix="0" xfId="0">
      <alignment horizontal="left" vertical="bottom" wrapText="1"/>
    </xf>
    <xf numFmtId="0" fontId="16" fillId="13" borderId="0" applyAlignment="1" pivotButton="0" quotePrefix="0" xfId="0">
      <alignment horizontal="left" vertical="center" wrapText="1"/>
    </xf>
    <xf numFmtId="0" fontId="0" fillId="13" borderId="2" applyAlignment="1" pivotButton="0" quotePrefix="0" xfId="0">
      <alignment horizontal="general" vertical="bottom"/>
    </xf>
    <xf numFmtId="0" fontId="16" fillId="13" borderId="2" applyAlignment="1" pivotButton="0" quotePrefix="0" xfId="0">
      <alignment horizontal="general" vertical="bottom"/>
    </xf>
    <xf numFmtId="0" fontId="16" fillId="13" borderId="2" applyAlignment="1" pivotButton="0" quotePrefix="0" xfId="0">
      <alignment horizontal="general" vertical="bottom" wrapText="1"/>
    </xf>
    <xf numFmtId="0" fontId="16" fillId="13" borderId="2" applyAlignment="1" pivotButton="0" quotePrefix="0" xfId="0">
      <alignment horizontal="left" vertical="bottom" wrapText="1"/>
    </xf>
    <xf numFmtId="0" fontId="16" fillId="13" borderId="2" applyAlignment="1" pivotButton="0" quotePrefix="0" xfId="0">
      <alignment horizontal="left" vertical="center" wrapText="1"/>
    </xf>
    <xf numFmtId="0" fontId="0" fillId="12" borderId="0" applyAlignment="1" pivotButton="0" quotePrefix="0" xfId="0">
      <alignment horizontal="general" vertical="bottom"/>
    </xf>
    <xf numFmtId="0" fontId="17" fillId="12" borderId="0" applyAlignment="1" pivotButton="0" quotePrefix="0" xfId="0">
      <alignment horizontal="general" vertical="bottom"/>
    </xf>
    <xf numFmtId="0" fontId="17" fillId="12" borderId="0" applyAlignment="1" pivotButton="0" quotePrefix="0" xfId="0">
      <alignment horizontal="general" vertical="bottom" wrapText="1"/>
    </xf>
    <xf numFmtId="0" fontId="17" fillId="12" borderId="0" applyAlignment="1" pivotButton="0" quotePrefix="0" xfId="0">
      <alignment horizontal="center" vertical="bottom" wrapText="1"/>
    </xf>
    <xf numFmtId="0" fontId="17" fillId="12" borderId="0" applyAlignment="1" pivotButton="0" quotePrefix="0" xfId="0">
      <alignment horizontal="center" vertical="center" wrapText="1"/>
    </xf>
    <xf numFmtId="0" fontId="0" fillId="12" borderId="2" applyAlignment="1" pivotButton="0" quotePrefix="0" xfId="0">
      <alignment horizontal="general" vertical="bottom"/>
    </xf>
    <xf numFmtId="0" fontId="17" fillId="12" borderId="2" applyAlignment="1" pivotButton="0" quotePrefix="0" xfId="0">
      <alignment horizontal="general" vertical="bottom"/>
    </xf>
    <xf numFmtId="0" fontId="17" fillId="12" borderId="2" applyAlignment="1" pivotButton="0" quotePrefix="0" xfId="0">
      <alignment horizontal="general" vertical="bottom" wrapText="1"/>
    </xf>
    <xf numFmtId="0" fontId="17" fillId="12" borderId="2" applyAlignment="1" pivotButton="0" quotePrefix="0" xfId="0">
      <alignment horizontal="center" vertical="bottom" wrapText="1"/>
    </xf>
    <xf numFmtId="0" fontId="17" fillId="12" borderId="2"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10" fillId="9" borderId="1" applyAlignment="1" pivotButton="0" quotePrefix="0" xfId="0">
      <alignment horizontal="left" vertical="top" wrapText="1"/>
    </xf>
    <xf numFmtId="164" fontId="11" fillId="9" borderId="1" applyAlignment="1" pivotButton="0" quotePrefix="0" xfId="0">
      <alignment horizontal="center" vertical="top" wrapText="1"/>
    </xf>
    <xf numFmtId="0" fontId="10" fillId="8" borderId="1" applyAlignment="1" pivotButton="0" quotePrefix="0" xfId="0">
      <alignment horizontal="left" vertical="top" wrapText="1"/>
    </xf>
    <xf numFmtId="164" fontId="11" fillId="8" borderId="1" applyAlignment="1" pivotButton="0" quotePrefix="0" xfId="0">
      <alignment horizontal="center" vertical="top" wrapText="1"/>
    </xf>
    <xf numFmtId="0" fontId="10" fillId="9" borderId="3" applyAlignment="1" pivotButton="0" quotePrefix="0" xfId="0">
      <alignment horizontal="left" vertical="top" wrapText="1"/>
    </xf>
    <xf numFmtId="164" fontId="11" fillId="9" borderId="3" applyAlignment="1" pivotButton="0" quotePrefix="0" xfId="0">
      <alignment horizontal="center" vertical="top" wrapText="1"/>
    </xf>
    <xf numFmtId="0" fontId="10" fillId="8" borderId="3" applyAlignment="1" pivotButton="0" quotePrefix="0" xfId="0">
      <alignment horizontal="left" vertical="top" wrapText="1"/>
    </xf>
    <xf numFmtId="164" fontId="11" fillId="8" borderId="3" applyAlignment="1" pivotButton="0" quotePrefix="0" xfId="0">
      <alignment horizontal="center" vertical="top" wrapText="1"/>
    </xf>
    <xf numFmtId="0" fontId="9" fillId="8" borderId="1" applyAlignment="1" pivotButton="0" quotePrefix="0" xfId="0">
      <alignment horizontal="center" vertical="center" wrapText="1"/>
    </xf>
    <xf numFmtId="0" fontId="0" fillId="0" borderId="0" applyAlignment="1" pivotButton="0" quotePrefix="0" xfId="0">
      <alignment horizontal="general" vertical="bottom"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0" fillId="0" borderId="2" applyAlignment="1" pivotButton="0" quotePrefix="0" xfId="0">
      <alignment horizontal="general" vertical="bottom" wrapText="1"/>
    </xf>
    <xf numFmtId="0" fontId="9" fillId="8" borderId="3" applyAlignment="1" pivotButton="0" quotePrefix="0" xfId="0">
      <alignment horizontal="center" vertical="top" wrapText="1"/>
    </xf>
    <xf numFmtId="0" fontId="0" fillId="0" borderId="2" applyAlignment="1" pivotButton="0" quotePrefix="0" xfId="0">
      <alignment horizontal="general" vertical="top"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11" fillId="8" borderId="1" applyAlignment="1" pivotButton="0" quotePrefix="0" xfId="0">
      <alignment horizontal="center" vertical="top" wrapText="1"/>
    </xf>
    <xf numFmtId="165" fontId="9" fillId="8" borderId="1" applyAlignment="1" pivotButton="0" quotePrefix="0" xfId="0">
      <alignment horizontal="center" vertical="top" wrapText="1"/>
    </xf>
    <xf numFmtId="165" fontId="9" fillId="9" borderId="1" applyAlignment="1" pivotButton="0" quotePrefix="0" xfId="0">
      <alignment horizontal="center" vertical="top" wrapText="1"/>
    </xf>
    <xf numFmtId="0" fontId="11" fillId="8" borderId="3" applyAlignment="1" pivotButton="0" quotePrefix="0" xfId="0">
      <alignment horizontal="center" vertical="top" wrapText="1"/>
    </xf>
    <xf numFmtId="165" fontId="9" fillId="8" borderId="3" applyAlignment="1" pivotButton="0" quotePrefix="0" xfId="0">
      <alignment horizontal="center" vertical="top" wrapText="1"/>
    </xf>
    <xf numFmtId="165" fontId="9" fillId="9" borderId="3" applyAlignment="1" pivotButton="0" quotePrefix="0" xfId="0">
      <alignment horizontal="center" vertical="top" wrapText="1"/>
    </xf>
    <xf numFmtId="2" fontId="11" fillId="9" borderId="1" applyAlignment="1" pivotButton="0" quotePrefix="0" xfId="0">
      <alignment horizontal="center" vertical="top" wrapText="1"/>
    </xf>
    <xf numFmtId="2" fontId="11" fillId="8" borderId="1" applyAlignment="1" pivotButton="0" quotePrefix="0" xfId="0">
      <alignment horizontal="center" vertical="top" wrapText="1"/>
    </xf>
    <xf numFmtId="2" fontId="11" fillId="9" borderId="3" applyAlignment="1" pivotButton="0" quotePrefix="0" xfId="0">
      <alignment horizontal="center" vertical="top" wrapText="1"/>
    </xf>
    <xf numFmtId="2" fontId="11" fillId="8" borderId="3" applyAlignment="1" pivotButton="0" quotePrefix="0" xfId="0">
      <alignment horizontal="center" vertical="top" wrapText="1"/>
    </xf>
    <xf numFmtId="166" fontId="9" fillId="8" borderId="1" applyAlignment="1" pivotButton="0" quotePrefix="0" xfId="0">
      <alignment horizontal="center" vertical="top" wrapText="1"/>
    </xf>
    <xf numFmtId="166" fontId="9" fillId="9" borderId="1" applyAlignment="1" pivotButton="0" quotePrefix="0" xfId="0">
      <alignment horizontal="center" vertical="top" wrapText="1"/>
    </xf>
    <xf numFmtId="166" fontId="9" fillId="8" borderId="3" applyAlignment="1" pivotButton="0" quotePrefix="0" xfId="0">
      <alignment horizontal="center" vertical="top" wrapText="1"/>
    </xf>
    <xf numFmtId="166" fontId="9" fillId="9" borderId="3" applyAlignment="1" pivotButton="0" quotePrefix="0" xfId="0">
      <alignment horizontal="center" vertical="top" wrapText="1"/>
    </xf>
    <xf numFmtId="9" fontId="9" fillId="8"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xf numFmtId="9" fontId="9" fillId="8" borderId="3" applyAlignment="1" pivotButton="0" quotePrefix="0" xfId="0">
      <alignment horizontal="center" vertical="top" wrapText="1"/>
    </xf>
    <xf numFmtId="9" fontId="9" fillId="9" borderId="3" applyAlignment="1" pivotButton="0" quotePrefix="0" xfId="0">
      <alignment horizontal="center" vertical="top" wrapText="1"/>
    </xf>
    <xf numFmtId="9" fontId="0" fillId="0" borderId="2" applyAlignment="1" pivotButton="0" quotePrefix="0" xfId="0">
      <alignment horizontal="general" vertical="top" wrapText="1"/>
    </xf>
    <xf numFmtId="0" fontId="8"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0" fillId="0" borderId="0" pivotButton="0" quotePrefix="0" xfId="0"/>
    <xf numFmtId="0" fontId="12" fillId="12" borderId="1" applyAlignment="1" pivotButton="0" quotePrefix="0" xfId="0">
      <alignment horizontal="center" vertical="center" wrapText="1"/>
    </xf>
    <xf numFmtId="0" fontId="0" fillId="0" borderId="0" applyAlignment="1" pivotButton="0" quotePrefix="0" xfId="0">
      <alignment horizontal="general" vertical="bottom"/>
    </xf>
    <xf numFmtId="0" fontId="13" fillId="13"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4" fillId="14" borderId="0" applyAlignment="1" pivotButton="0" quotePrefix="0" xfId="0">
      <alignment horizontal="left" vertical="top" wrapText="1"/>
    </xf>
    <xf numFmtId="0" fontId="12" fillId="12" borderId="3" applyAlignment="1" pivotButton="0" quotePrefix="0" xfId="0">
      <alignment horizontal="center" vertical="center" wrapText="1"/>
    </xf>
    <xf numFmtId="0" fontId="0" fillId="0" borderId="6" pivotButton="0" quotePrefix="0" xfId="0"/>
    <xf numFmtId="0" fontId="0" fillId="0" borderId="7" pivotButton="0" quotePrefix="0" xfId="0"/>
    <xf numFmtId="0" fontId="15" fillId="15" borderId="1"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9" fillId="18" borderId="1" applyAlignment="1" pivotButton="0" quotePrefix="0" xfId="0">
      <alignment horizontal="left" vertical="top" wrapText="1"/>
    </xf>
    <xf numFmtId="2" fontId="11" fillId="18" borderId="1" applyAlignment="1" pivotButton="0" quotePrefix="0" xfId="0">
      <alignment horizontal="center" vertical="top" wrapText="1"/>
    </xf>
    <xf numFmtId="0" fontId="9" fillId="18" borderId="1"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0" fillId="0" borderId="0" applyAlignment="1" pivotButton="0" quotePrefix="0" xfId="0">
      <alignment horizontal="general" vertical="bottom" wrapText="1"/>
    </xf>
    <xf numFmtId="0" fontId="8" fillId="2"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10" borderId="3" applyAlignment="1" pivotButton="0" quotePrefix="0" xfId="0">
      <alignment horizontal="left" vertical="center" wrapText="1"/>
    </xf>
    <xf numFmtId="0" fontId="9" fillId="11" borderId="3" applyAlignment="1" pivotButton="0" quotePrefix="0" xfId="0">
      <alignment horizontal="left" vertical="center" wrapText="1"/>
    </xf>
    <xf numFmtId="0" fontId="15" fillId="13" borderId="3" applyAlignment="1" pivotButton="0" quotePrefix="0" xfId="0">
      <alignment horizontal="left" vertical="center" wrapText="1"/>
    </xf>
    <xf numFmtId="0" fontId="10" fillId="9" borderId="1" applyAlignment="1" pivotButton="0" quotePrefix="0" xfId="0">
      <alignment horizontal="left" vertical="top" wrapText="1"/>
    </xf>
    <xf numFmtId="2" fontId="11" fillId="9" borderId="1" applyAlignment="1" pivotButton="0" quotePrefix="0" xfId="0">
      <alignment horizontal="center" vertical="top" wrapText="1"/>
    </xf>
    <xf numFmtId="0" fontId="10" fillId="8" borderId="1" applyAlignment="1" pivotButton="0" quotePrefix="0" xfId="0">
      <alignment horizontal="left" vertical="top" wrapText="1"/>
    </xf>
    <xf numFmtId="2" fontId="11" fillId="8" borderId="1" applyAlignment="1" pivotButton="0" quotePrefix="0" xfId="0">
      <alignment horizontal="center" vertical="top" wrapText="1"/>
    </xf>
    <xf numFmtId="0" fontId="17" fillId="12" borderId="0" applyAlignment="1" pivotButton="0" quotePrefix="0" xfId="0">
      <alignment horizontal="center" vertical="center" wrapText="1"/>
    </xf>
    <xf numFmtId="0" fontId="9" fillId="8" borderId="1" applyAlignment="1" pivotButton="0" quotePrefix="0" xfId="0">
      <alignment horizontal="left" vertical="top" wrapText="1"/>
    </xf>
    <xf numFmtId="166" fontId="9" fillId="8" borderId="1" applyAlignment="1" pivotButton="0" quotePrefix="0" xfId="0">
      <alignment horizontal="center" vertical="top"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9" fillId="9" borderId="1" applyAlignment="1" pivotButton="0" quotePrefix="0" xfId="0">
      <alignment horizontal="left" vertical="top" wrapText="1"/>
    </xf>
    <xf numFmtId="166" fontId="9" fillId="9" borderId="1" applyAlignment="1" pivotButton="0" quotePrefix="0" xfId="0">
      <alignment horizontal="center" vertical="top" wrapText="1"/>
    </xf>
    <xf numFmtId="0" fontId="9" fillId="9" borderId="1" applyAlignment="1" pivotButton="0" quotePrefix="0" xfId="0">
      <alignment horizontal="center" vertical="top" wrapText="1"/>
    </xf>
    <xf numFmtId="0" fontId="11" fillId="8" borderId="1" applyAlignment="1" pivotButton="0" quotePrefix="0" xfId="0">
      <alignment horizontal="center" vertical="top" wrapText="1"/>
    </xf>
    <xf numFmtId="9" fontId="9" fillId="8" borderId="1" applyAlignment="1" pivotButton="0" quotePrefix="0" xfId="0">
      <alignment horizontal="center" vertical="top" wrapText="1"/>
    </xf>
    <xf numFmtId="0" fontId="11" fillId="9"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2">
    <dxf>
      <font>
        <b val="1"/>
        <color rgb="00991B1B"/>
      </font>
      <fill>
        <patternFill patternType="solid">
          <bgColor rgb="00FEE2E2"/>
        </patternFill>
      </fill>
    </dxf>
    <dxf>
      <font>
        <b val="1"/>
        <color rgb="00166534"/>
      </font>
      <fill>
        <patternFill patternType="solid">
          <bgColor rgb="00DCF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9999FF"/>
      <rgbColor rgb="FF993366"/>
      <rgbColor rgb="FFFFF3CD"/>
      <rgbColor rgb="FFF7F9FC"/>
      <rgbColor rgb="FF660066"/>
      <rgbColor rgb="FFFF8080"/>
      <rgbColor rgb="FF1A56DB"/>
      <rgbColor rgb="FFD6E4F0"/>
      <rgbColor rgb="FF000080"/>
      <rgbColor rgb="FFFF00FF"/>
      <rgbColor rgb="FFFFFF00"/>
      <rgbColor rgb="FF00FFFF"/>
      <rgbColor rgb="FF800080"/>
      <rgbColor rgb="FF800000"/>
      <rgbColor rgb="FF008080"/>
      <rgbColor rgb="FF0000FF"/>
      <rgbColor rgb="FF00CCFF"/>
      <rgbColor rgb="FFCCFFFF"/>
      <rgbColor rgb="FFD6F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04000"/>
      <rgbColor rgb="FF993366"/>
      <rgbColor rgb="FF2E4057"/>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70"/>
  <sheetViews>
    <sheetView showGridLines="1" workbookViewId="0">
      <selection activeCell="A1" sqref="A1"/>
    </sheetView>
  </sheetViews>
  <sheetFormatPr baseColWidth="8" defaultColWidth="8.6796875" defaultRowHeight="15" outlineLevelCol="0"/>
  <cols>
    <col width="115" customWidth="1" style="229" min="1" max="1"/>
  </cols>
  <sheetData>
    <row r="1" ht="30" customHeight="1" s="229">
      <c r="A1" s="230" t="inlineStr">
        <is>
          <t>RAG Evaluation Experiment - Instructions &amp; Setup Guide</t>
        </is>
      </c>
      <c r="B1" s="231" t="str"/>
    </row>
    <row r="2" ht="18" customHeight="1" s="229">
      <c r="A2" s="232" t="inlineStr">
        <is>
          <t>Purpose</t>
        </is>
      </c>
      <c r="B2" s="231" t="str"/>
    </row>
    <row r="3" ht="18" customHeight="1" s="229">
      <c r="A3" s="233" t="inlineStr">
        <is>
          <t>Use this workbook to run the same 50 queries through three evaluation methods: DocMind cosine similarity, RAGAS, and LLM-as-judge. The Query Log is already pre-filled and color-coded by query type.</t>
        </is>
      </c>
      <c r="B3" s="231" t="str"/>
    </row>
    <row r="4" ht="18" customHeight="1" s="229">
      <c r="A4" s="232" t="inlineStr">
        <is>
          <t>Documents selected</t>
        </is>
      </c>
      <c r="B4" s="231" t="str"/>
    </row>
    <row r="5" ht="18" customHeight="1" s="229">
      <c r="A5" s="233" t="inlineStr">
        <is>
          <t>Doc A - Technical: 1706.03762v7.pdf, "Attention Is All You Need". Use this for Transformer architecture, attention, training, BLEU, and parsing questions.</t>
        </is>
      </c>
      <c r="B5" s="231" t="str"/>
    </row>
    <row r="6" ht="18" customHeight="1" s="229">
      <c r="A6" s="234" t="inlineStr">
        <is>
          <t>Doc B - Methodology / evaluation narrative: 2309.15217v2.pdf, "Ragas: Automated Evaluation of Retrieval Augmented Generation". Use this for RAGAS motivation, metrics, prompts, WikiEval, and comparison questions.</t>
        </is>
      </c>
      <c r="B6" s="231" t="str"/>
    </row>
    <row r="7" ht="18" customHeight="1" s="229">
      <c r="A7" s="233" t="inlineStr">
        <is>
          <t>Doc C - Factual / encyclopedic: Retrieval-augmented generation - Wikipedia.pdf. Use this for RAG definitions, process stages, limitations, chunking, hybrid search, and poisoning questions.</t>
        </is>
      </c>
      <c r="B7" s="231" t="str"/>
    </row>
    <row r="8" ht="18" customHeight="1" s="229">
      <c r="A8" s="232" t="inlineStr">
        <is>
          <t>Step 1 - Upload all 3 documents into DocMind</t>
        </is>
      </c>
      <c r="B8" s="231" t="str"/>
    </row>
    <row r="9" ht="18" customHeight="1" s="229">
      <c r="A9" s="233" t="inlineStr">
        <is>
          <t>1. Start your backend from /backend with: source venv/bin/activate &amp;&amp; uvicorn main:app --reload.</t>
        </is>
      </c>
      <c r="B9" s="231" t="str"/>
    </row>
    <row r="10" ht="18" customHeight="1" s="229">
      <c r="A10" s="233" t="inlineStr">
        <is>
          <t>2. Start your frontend from /rag-frontend with: npm run dev.</t>
        </is>
      </c>
      <c r="B10" s="231" t="str"/>
    </row>
    <row r="11" ht="18" customHeight="1" s="229">
      <c r="A11" s="233" t="inlineStr">
        <is>
          <t>3. In DocMind, upload all three PDFs above. Wait until each document is indexed and ChromaDB embeddings are generated.</t>
        </is>
      </c>
      <c r="B11" s="231" t="str"/>
    </row>
    <row r="12" ht="18" customHeight="1" s="229">
      <c r="A12" s="234" t="inlineStr">
        <is>
          <t>4. If DocMind allows filtering by document, activate only the Doc Source shown in column C of Query Log. If not, run against all three documents and keep the retrieved context that DocMind shows.</t>
        </is>
      </c>
      <c r="B12" s="231" t="str"/>
    </row>
    <row r="13" ht="18" customHeight="1" s="229">
      <c r="A13" s="232" t="inlineStr">
        <is>
          <t>Step 2 - Run DocMind cosine evaluation</t>
        </is>
      </c>
      <c r="B13" s="231" t="str"/>
    </row>
    <row r="14" ht="18" customHeight="1" s="229">
      <c r="A14" s="233" t="inlineStr">
        <is>
          <t>For each row in Query Log: copy the query text from column D into DocMind. Paste the generated answer into column E and the retrieved top-k context chunks into column F. Then copy DocMind dashboard scores into columns G and H.</t>
        </is>
      </c>
      <c r="B14" s="231" t="str"/>
    </row>
    <row r="15" ht="18" customHeight="1" s="229">
      <c r="A15" s="232" t="inlineStr">
        <is>
          <t>Step 3 - Run RAGAS in batch after columns D-F are filled</t>
        </is>
      </c>
      <c r="B15" s="231" t="str"/>
    </row>
    <row r="16" ht="18" customHeight="1" s="229">
      <c r="A16" s="233" t="inlineStr">
        <is>
          <t>Install if needed: pip install ragas datasets pandas openpyxl. RAGAS typically requires an LLM provider key, for example OPENAI_API_KEY, depending on your local setup.</t>
        </is>
      </c>
      <c r="B16" s="231" t="str"/>
    </row>
    <row r="17" ht="18" customHeight="1" s="229">
      <c r="A17" s="232" t="inlineStr">
        <is>
          <t>RAGAS batch script</t>
        </is>
      </c>
      <c r="B17" s="231" t="str"/>
    </row>
    <row r="18" ht="165" customHeight="1" s="229">
      <c r="A18" s="235" t="inlineStr">
        <is>
          <t>import pandas as pd
from datasets import Dataset
from ragas import evaluate
from ragas.metrics import faithfulness, answer_relevancy
xlsx = 'RAG_Eval_Experiment_Sheet_completed.xlsx'
df = pd.read_excel(xlsx, sheet_name='Query Log', header=2)
df = df[df['#'].notna()].copy()
# Split retrieved context by your separator if you used one. If not, keep it as one context item.
def to_context_list(x):
    if pd.isna(x):
        return []
    text = str(x)
    parts = [p.strip() for p in text.split('
---
') if p.strip()]
    return parts if parts else [text]
data = {
    'question': df['Query Text'].astype(str).tolist(),
    'answer': df['Generated Answer
(paste from DocMind)'].astype(str).tolist(),
    'contexts': df['Retrieved Context
(top-k chunks)'].apply(to_context_list).tolist(),
}
dataset = Dataset.from_dict(data)
results = evaluate(dataset, metrics=[faithfulness, answer_relevancy])
out = results.to_pandas()
out[['faithfulness', 'answer_relevancy']].to_csv('ragas_scores.csv', index=False)
print(out[['faithfulness', 'answer_relevancy']])</t>
        </is>
      </c>
      <c r="B18" s="231" t="str"/>
    </row>
    <row r="19" ht="18" customHeight="1" s="229">
      <c r="A19" s="232" t="inlineStr">
        <is>
          <t>Paste RAGAS outputs into columns I and J</t>
        </is>
      </c>
      <c r="B19" s="231" t="str"/>
    </row>
    <row r="20" ht="18" customHeight="1" s="229">
      <c r="A20" s="233" t="inlineStr">
        <is>
          <t>Paste RAGAS faithfulness into column I and answer_relevancy into column J for Q1-Q50.</t>
        </is>
      </c>
      <c r="B20" s="231" t="str"/>
    </row>
    <row r="21" ht="18" customHeight="1" s="229">
      <c r="A21" s="232" t="inlineStr">
        <is>
          <t>Step 4 - Run LLM-as-judge</t>
        </is>
      </c>
      <c r="B21" s="231" t="str"/>
    </row>
    <row r="22" ht="18" customHeight="1" s="229">
      <c r="A22" s="233" t="inlineStr">
        <is>
          <t>For each query, judge the generated answer against the retrieved context and return only JSON with faithfulness and relevance. Divide scores by 10 before pasting into columns K and L.</t>
        </is>
      </c>
      <c r="B22" s="231" t="str"/>
    </row>
    <row r="23" ht="18" customHeight="1" s="229">
      <c r="A23" s="232" t="inlineStr">
        <is>
          <t>LLM-as-judge prompt</t>
        </is>
      </c>
      <c r="B23" s="231" t="str"/>
    </row>
    <row r="24" ht="18" customHeight="1" s="229">
      <c r="A24" s="233" t="inlineStr">
        <is>
          <t>You are an evaluator for a RAG system.
QUERY: {query}
RETRIEVED CONTEXT: {context}
GENERATED ANSWER: {answer}
Rate the answer on two dimensions:
1. Faithfulness (0-10): Is the answer fully supported by the retrieved context?
   10 = every claim is grounded in context, 0 = answer ignores or contradicts context.
2. Relevance (0-10): Does the answer directly address the query?
   10 = fully addresses the question, 0 = completely off-topic.
Return ONLY valid JSON: {"faithfulness": X, "relevance": Y}</t>
        </is>
      </c>
      <c r="B24" s="231" t="str"/>
    </row>
    <row r="25" ht="18" customHeight="1" s="229">
      <c r="A25" s="232" t="inlineStr">
        <is>
          <t>Step 5 - Tag failures consistently</t>
        </is>
      </c>
      <c r="B25" s="231" t="str"/>
    </row>
    <row r="26" ht="145" customHeight="1" s="229">
      <c r="A26" s="235" t="inlineStr">
        <is>
          <t>Use column M for Pass/Fail. In column N, include a short tag such as Retrieval miss, Too vague, Answer ignored context, Paraphrase mismatch, Multi-hop divergence, Context drift, Hallucination missed, or Other. Table V counts these tags automatically.</t>
        </is>
      </c>
      <c r="B26" s="231" t="str"/>
    </row>
    <row r="27" ht="18" customHeight="1" s="229">
      <c r="A27" s="232" t="inlineStr">
        <is>
          <t>Step 6 - Use Analysis sheet</t>
        </is>
      </c>
      <c r="B27" s="231" t="str"/>
    </row>
    <row r="28" ht="18" customHeight="1" s="229">
      <c r="A28" s="233" t="inlineStr">
        <is>
          <t>Once columns G-L are filled for all 50 rows, Sheet 3 auto-calculates Tables II and III for the paper, plus cost comparison and failure mode counts.</t>
        </is>
      </c>
      <c r="B28" s="231" t="str"/>
    </row>
    <row r="29" ht="18" customHeight="1" s="229">
      <c r="A29" s="232" t="str"/>
      <c r="B29" s="231" t="str"/>
    </row>
    <row r="30" ht="18" customHeight="1" s="229">
      <c r="A30" s="233" t="str"/>
      <c r="B30" s="231" t="str"/>
    </row>
    <row r="31" ht="18" customHeight="1" s="229">
      <c r="A31" s="233" t="str"/>
      <c r="B31" s="231" t="str"/>
    </row>
    <row r="32" ht="18" customHeight="1" s="229">
      <c r="A32" s="233" t="str"/>
      <c r="B32" s="231" t="str"/>
    </row>
    <row r="33" ht="18" customHeight="1" s="229">
      <c r="A33" s="233" t="str"/>
      <c r="B33" s="231" t="str"/>
    </row>
    <row r="34" ht="18" customHeight="1" s="229">
      <c r="A34" s="233" t="str"/>
      <c r="B34" s="231" t="str"/>
    </row>
    <row r="35" ht="18" customHeight="1" s="229">
      <c r="A35" s="233" t="str"/>
      <c r="B35" s="231" t="str"/>
    </row>
    <row r="36" ht="18" customHeight="1" s="229">
      <c r="A36" s="233" t="str"/>
      <c r="B36" s="231" t="str"/>
    </row>
    <row r="37" ht="18" customHeight="1" s="229">
      <c r="A37" s="233" t="str"/>
      <c r="B37" s="231" t="str"/>
    </row>
    <row r="38" ht="18" customHeight="1" s="229">
      <c r="A38" s="234" t="str"/>
      <c r="B38" s="231" t="str"/>
    </row>
    <row r="39" ht="18" customHeight="1" s="229">
      <c r="A39" s="233" t="str"/>
      <c r="B39" s="231" t="str"/>
    </row>
    <row r="40" ht="18" customHeight="1" s="229">
      <c r="A40" s="233" t="str"/>
      <c r="B40" s="231" t="str"/>
    </row>
    <row r="41">
      <c r="A41" s="231" t="str"/>
      <c r="B41" s="231" t="str"/>
    </row>
    <row r="42">
      <c r="A42" s="231" t="str"/>
      <c r="B42" s="231" t="str"/>
    </row>
    <row r="43">
      <c r="A43" s="231" t="str"/>
      <c r="B43" s="231" t="str"/>
    </row>
    <row r="44">
      <c r="A44" s="231" t="str"/>
      <c r="B44" s="231" t="str"/>
    </row>
    <row r="45">
      <c r="A45" s="231" t="str"/>
      <c r="B45" s="231" t="str"/>
    </row>
    <row r="46">
      <c r="A46" s="231" t="str"/>
      <c r="B46" s="231" t="str"/>
    </row>
    <row r="47">
      <c r="A47" s="231" t="str"/>
      <c r="B47" s="231" t="str"/>
    </row>
    <row r="48">
      <c r="A48" s="231" t="str"/>
      <c r="B48" s="231" t="str"/>
    </row>
    <row r="49">
      <c r="A49" s="231" t="str"/>
      <c r="B49" s="231" t="str"/>
    </row>
    <row r="50">
      <c r="A50" s="231" t="str"/>
      <c r="B50" s="231" t="str"/>
    </row>
    <row r="51">
      <c r="A51" s="231" t="str"/>
      <c r="B51" s="231" t="str"/>
    </row>
    <row r="52">
      <c r="A52" s="231" t="str"/>
      <c r="B52" s="231" t="str"/>
    </row>
    <row r="53">
      <c r="A53" s="231" t="str"/>
      <c r="B53" s="231" t="str"/>
    </row>
    <row r="54">
      <c r="A54" s="231" t="str"/>
      <c r="B54" s="231" t="str"/>
    </row>
    <row r="55">
      <c r="A55" s="231" t="str"/>
      <c r="B55" s="231" t="str"/>
    </row>
    <row r="56">
      <c r="A56" s="231" t="str"/>
      <c r="B56" s="231" t="str"/>
    </row>
    <row r="57">
      <c r="A57" s="231" t="str"/>
      <c r="B57" s="231" t="str"/>
    </row>
    <row r="58">
      <c r="A58" s="231" t="str"/>
      <c r="B58" s="231" t="str"/>
    </row>
    <row r="59">
      <c r="A59" s="231" t="str"/>
      <c r="B59" s="231" t="str"/>
    </row>
    <row r="60">
      <c r="A60" s="231" t="str"/>
      <c r="B60" s="231" t="str"/>
    </row>
    <row r="61">
      <c r="A61" s="231" t="str"/>
      <c r="B61" s="231" t="str"/>
    </row>
    <row r="62">
      <c r="A62" s="231" t="str"/>
      <c r="B62" s="231" t="str"/>
    </row>
    <row r="63">
      <c r="A63" s="231" t="str"/>
      <c r="B63" s="231" t="str"/>
    </row>
    <row r="64">
      <c r="A64" s="231" t="str"/>
      <c r="B64" s="231" t="str"/>
    </row>
    <row r="65">
      <c r="A65" s="231" t="str"/>
      <c r="B65" s="231" t="str"/>
    </row>
    <row r="66">
      <c r="A66" s="231" t="str"/>
      <c r="B66" s="231" t="str"/>
    </row>
    <row r="67">
      <c r="A67" s="231" t="str"/>
      <c r="B67" s="231" t="str"/>
    </row>
    <row r="68">
      <c r="A68" s="231" t="str"/>
      <c r="B68" s="231" t="str"/>
    </row>
    <row r="69">
      <c r="A69" s="231" t="str"/>
      <c r="B69" s="231" t="str"/>
    </row>
    <row r="70">
      <c r="A70" s="231" t="str"/>
      <c r="B70" s="231" t="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0"/>
  <sheetViews>
    <sheetView showGridLines="1" workbookViewId="0">
      <selection activeCell="A1" sqref="A1"/>
    </sheetView>
  </sheetViews>
  <sheetFormatPr baseColWidth="8" defaultColWidth="8.6796875" defaultRowHeight="15" outlineLevelCol="0"/>
  <cols>
    <col width="5" customWidth="1" style="229" min="1" max="1"/>
    <col width="14" customWidth="1" style="229" min="2" max="2"/>
    <col width="12" customWidth="1" style="229" min="3" max="3"/>
    <col width="55" customWidth="1" style="229" min="4" max="4"/>
    <col width="42" customWidth="1" style="229" min="5" max="5"/>
    <col width="55" customWidth="1" style="229" min="6" max="6"/>
    <col width="12" customWidth="1" style="229" min="7" max="7"/>
    <col width="12" customWidth="1" style="229" min="8" max="8"/>
    <col width="12" customWidth="1" style="229" min="9" max="9"/>
    <col width="14" customWidth="1" style="229" min="10" max="10"/>
    <col width="12" customWidth="1" style="229" min="11" max="11"/>
    <col width="12" customWidth="1" style="229" min="12" max="12"/>
    <col width="12" customWidth="1" style="229" min="13" max="13"/>
    <col width="28" customWidth="1" style="229" min="14" max="14"/>
  </cols>
  <sheetData>
    <row r="1" ht="30" customHeight="1" s="229">
      <c r="A1" s="236" t="inlineStr">
        <is>
          <t>RAG Evaluation Experiment - Query Log (50 Queries)</t>
        </is>
      </c>
      <c r="B1" s="237" t="n"/>
      <c r="C1" s="237" t="n"/>
      <c r="D1" s="237" t="n"/>
      <c r="E1" s="237" t="n"/>
      <c r="F1" s="237" t="n"/>
      <c r="G1" s="237" t="n"/>
      <c r="H1" s="237" t="n"/>
      <c r="I1" s="237" t="n"/>
      <c r="J1" s="237" t="n"/>
      <c r="K1" s="237" t="n"/>
      <c r="L1" s="237" t="n"/>
      <c r="M1" s="237" t="n"/>
      <c r="N1" s="238" t="n"/>
    </row>
    <row r="2" ht="21.75" customHeight="1" s="229">
      <c r="A2" s="239" t="str"/>
      <c r="B2" s="239" t="str"/>
      <c r="C2" s="239" t="str"/>
      <c r="D2" s="239" t="str"/>
      <c r="E2" s="239" t="str"/>
      <c r="F2" s="239" t="str"/>
      <c r="G2" s="240" t="inlineStr">
        <is>
          <t>Method A - Cosine Similarity</t>
        </is>
      </c>
      <c r="H2" s="238" t="n"/>
      <c r="I2" s="240" t="inlineStr">
        <is>
          <t>Method B - RAGAS</t>
        </is>
      </c>
      <c r="J2" s="238" t="n"/>
      <c r="K2" s="240" t="inlineStr">
        <is>
          <t>Method C - LLM-as-Judge</t>
        </is>
      </c>
      <c r="L2" s="238" t="n"/>
      <c r="M2" s="239" t="str"/>
      <c r="N2" s="239" t="str"/>
    </row>
    <row r="3" ht="36" customHeight="1" s="229">
      <c r="A3" s="241" t="inlineStr">
        <is>
          <t>#</t>
        </is>
      </c>
      <c r="B3" s="241" t="inlineStr">
        <is>
          <t>Query Type</t>
        </is>
      </c>
      <c r="C3" s="241" t="inlineStr">
        <is>
          <t>Doc Source</t>
        </is>
      </c>
      <c r="D3" s="241" t="inlineStr">
        <is>
          <t>Query Text</t>
        </is>
      </c>
      <c r="E3" s="241" t="inlineStr">
        <is>
          <t>Generated Answer
(paste from DocMind)</t>
        </is>
      </c>
      <c r="F3" s="241" t="inlineStr">
        <is>
          <t>Retrieved Context
(top-k chunks)</t>
        </is>
      </c>
      <c r="G3" s="241" t="inlineStr">
        <is>
          <t>Faithfulness
(0-1)</t>
        </is>
      </c>
      <c r="H3" s="241" t="inlineStr">
        <is>
          <t>Relevance
(0-1)</t>
        </is>
      </c>
      <c r="I3" s="241" t="inlineStr">
        <is>
          <t>Faithfulness
(0-1)</t>
        </is>
      </c>
      <c r="J3" s="241" t="inlineStr">
        <is>
          <t>Answer Relevancy
(0-1)</t>
        </is>
      </c>
      <c r="K3" s="241" t="inlineStr">
        <is>
          <t>Faithfulness
(0-1)</t>
        </is>
      </c>
      <c r="L3" s="241" t="inlineStr">
        <is>
          <t>Relevance
(0-1)</t>
        </is>
      </c>
      <c r="M3" s="241" t="inlineStr">
        <is>
          <t>Pass / Fail</t>
        </is>
      </c>
      <c r="N3" s="241" t="inlineStr">
        <is>
          <t>Notes / Failure Mode</t>
        </is>
      </c>
    </row>
    <row r="4" ht="48" customHeight="1" s="229">
      <c r="A4" s="242" t="n">
        <v>1</v>
      </c>
      <c r="B4" s="243" t="inlineStr">
        <is>
          <t>Factual</t>
        </is>
      </c>
      <c r="C4" s="242" t="inlineStr">
        <is>
          <t>Doc A</t>
        </is>
      </c>
      <c r="D4" s="244" t="inlineStr">
        <is>
          <t>What network architecture does "Attention Is All You Need" introduce?</t>
        </is>
      </c>
      <c r="E4" s="245" t="inlineStr">
        <is>
          <t>The "Attention Is All You Need" paper introduces the Transformer network architecture, which is based solely on attention mechanisms, dispensing with recurrence and convolutions entirely [Source: 1706.03762v7.pdf, page 1].</t>
        </is>
      </c>
      <c r="F4"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t>
        </is>
      </c>
      <c r="G4" s="246" t="str"/>
      <c r="H4" s="246" t="str"/>
      <c r="I4" s="246" t="str"/>
      <c r="J4" s="246" t="str"/>
      <c r="K4" s="246" t="str"/>
      <c r="L4" s="246" t="str"/>
      <c r="M4" s="247" t="inlineStr">
        <is>
          <t>Pass</t>
        </is>
      </c>
      <c r="N4" s="245" t="inlineStr">
        <is>
          <t>Automated run.</t>
        </is>
      </c>
    </row>
    <row r="5" ht="48" customHeight="1" s="229">
      <c r="A5" s="242" t="n">
        <v>2</v>
      </c>
      <c r="B5" s="243" t="inlineStr">
        <is>
          <t>Factual</t>
        </is>
      </c>
      <c r="C5" s="242" t="inlineStr">
        <is>
          <t>Doc A</t>
        </is>
      </c>
      <c r="D5" s="244" t="inlineStr">
        <is>
          <t>Which recurrent or convolutional components does the Transformer dispense with?</t>
        </is>
      </c>
      <c r="E5" s="245" t="inlineStr">
        <is>
          <t>The Transformer dispenses with recurrence and convolutions entirely [Source: 1706.03762v7.pdf, page 1 and page 2].</t>
        </is>
      </c>
      <c r="F5"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t>
        </is>
      </c>
      <c r="G5" s="246" t="str"/>
      <c r="H5" s="246" t="str"/>
      <c r="I5" s="246" t="str"/>
      <c r="J5" s="246" t="str"/>
      <c r="K5" s="246" t="str"/>
      <c r="L5" s="246" t="str"/>
      <c r="M5" s="247" t="inlineStr">
        <is>
          <t>Pass</t>
        </is>
      </c>
      <c r="N5" s="245" t="inlineStr">
        <is>
          <t>Automated run.</t>
        </is>
      </c>
    </row>
    <row r="6" ht="48" customHeight="1" s="229">
      <c r="A6" s="242" t="n">
        <v>3</v>
      </c>
      <c r="B6" s="243" t="inlineStr">
        <is>
          <t>Factual</t>
        </is>
      </c>
      <c r="C6" s="242" t="inlineStr">
        <is>
          <t>Doc A</t>
        </is>
      </c>
      <c r="D6" s="244" t="inlineStr">
        <is>
          <t>What BLEU score did the Transformer big model achieve on WMT 2014 English-to-German?</t>
        </is>
      </c>
      <c r="E6" s="245" t="inlineStr">
        <is>
          <t>The Transformer (big) model achieved a BLEU score of 28.4 on the WMT 2014 English-to-German translation task [Source: 1706.03762v7.pdf, page 8, and also page 1].</t>
        </is>
      </c>
      <c r="F6"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4]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6" s="246" t="str"/>
      <c r="H6" s="246" t="str"/>
      <c r="I6" s="246" t="str"/>
      <c r="J6" s="246" t="str"/>
      <c r="K6" s="246" t="str"/>
      <c r="L6" s="246" t="str"/>
      <c r="M6" s="247" t="inlineStr">
        <is>
          <t>Pass</t>
        </is>
      </c>
      <c r="N6" s="245" t="inlineStr">
        <is>
          <t>Automated run.</t>
        </is>
      </c>
    </row>
    <row r="7" ht="48" customHeight="1" s="229">
      <c r="A7" s="242" t="n">
        <v>4</v>
      </c>
      <c r="B7" s="243" t="inlineStr">
        <is>
          <t>Factual</t>
        </is>
      </c>
      <c r="C7" s="242" t="inlineStr">
        <is>
          <t>Doc A</t>
        </is>
      </c>
      <c r="D7" s="244" t="inlineStr">
        <is>
          <t>How many identical layers are used in the Transformer encoder stack?</t>
        </is>
      </c>
      <c r="E7" s="245" t="inlineStr">
        <is>
          <t>The Transformer encoder stack is composed of a stack of N = 6 identical layers. [Source: 1706.03762v7.pdf, page 3]</t>
        </is>
      </c>
      <c r="F7"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7" s="246" t="str"/>
      <c r="H7" s="246" t="str"/>
      <c r="I7" s="246" t="str"/>
      <c r="J7" s="246" t="str"/>
      <c r="K7" s="246" t="str"/>
      <c r="L7" s="246" t="str"/>
      <c r="M7" s="247" t="inlineStr">
        <is>
          <t>Pass</t>
        </is>
      </c>
      <c r="N7" s="245" t="inlineStr">
        <is>
          <t>Automated run.</t>
        </is>
      </c>
    </row>
    <row r="8" ht="48" customHeight="1" s="229">
      <c r="A8" s="242" t="n">
        <v>5</v>
      </c>
      <c r="B8" s="243" t="inlineStr">
        <is>
          <t>Factual</t>
        </is>
      </c>
      <c r="C8" s="242" t="inlineStr">
        <is>
          <t>Doc A</t>
        </is>
      </c>
      <c r="D8" s="244" t="inlineStr">
        <is>
          <t>What are the two sub-layers in each Transformer encoder layer?</t>
        </is>
      </c>
      <c r="E8" s="245" t="inlineStr">
        <is>
          <t>The two sub-layers in each Transformer encoder layer are: 
1. a multi-head self-attention mechanism, and 
2. a simple, position-wise fully connected feed-forward network [Source: 1706.03762v7.pdf, page 3].</t>
        </is>
      </c>
      <c r="F8"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8" s="246" t="str"/>
      <c r="H8" s="246" t="str"/>
      <c r="I8" s="246" t="str"/>
      <c r="J8" s="246" t="str"/>
      <c r="K8" s="246" t="str"/>
      <c r="L8" s="246" t="str"/>
      <c r="M8" s="247" t="inlineStr">
        <is>
          <t>Pass</t>
        </is>
      </c>
      <c r="N8" s="245" t="inlineStr">
        <is>
          <t>Automated run.</t>
        </is>
      </c>
    </row>
    <row r="9" ht="48" customHeight="1" s="229">
      <c r="A9" s="242" t="n">
        <v>6</v>
      </c>
      <c r="B9" s="243" t="inlineStr">
        <is>
          <t>Factual</t>
        </is>
      </c>
      <c r="C9" s="242" t="inlineStr">
        <is>
          <t>Doc A</t>
        </is>
      </c>
      <c r="D9" s="244" t="inlineStr">
        <is>
          <t>What scaling factor is applied in scaled dot-product attention?</t>
        </is>
      </c>
      <c r="E9" s="245" t="inlineStr">
        <is>
          <t>The scaling factor applied in scaled dot-product attention is 1/√dk (Source: 1706.03762v7.pdf, page 4, equation (1)).</t>
        </is>
      </c>
      <c r="F9" s="245" t="inlineStr">
        <is>
          <t xml:space="preserve">[Chunk 1] 1706.03762v7.pdf, page 4
√dk
)V
(1)
The two most commonly used attention functions are additive attention [2], and dot-product (multi-
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[Chunk 2] 1706.03762v7.pdf, page 4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
plicative) attention. Dot-product attention is identical to our algorithm, except for the scaling factor
of
1
[Chunk 3]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[Chunk 4]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[Chunk 5]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t>
        </is>
      </c>
      <c r="G9" s="246" t="str"/>
      <c r="H9" s="246" t="str"/>
      <c r="I9" s="246" t="str"/>
      <c r="J9" s="246" t="str"/>
      <c r="K9" s="246" t="str"/>
      <c r="L9" s="246" t="str"/>
      <c r="M9" s="247" t="inlineStr">
        <is>
          <t>Pass</t>
        </is>
      </c>
      <c r="N9" s="245" t="inlineStr">
        <is>
          <t>Automated run.</t>
        </is>
      </c>
    </row>
    <row r="10" ht="48" customHeight="1" s="229">
      <c r="A10" s="242" t="n">
        <v>7</v>
      </c>
      <c r="B10" s="243" t="inlineStr">
        <is>
          <t>Factual</t>
        </is>
      </c>
      <c r="C10" s="242" t="inlineStr">
        <is>
          <t>Doc A</t>
        </is>
      </c>
      <c r="D10" s="244" t="inlineStr">
        <is>
          <t>How many attention heads are used in the base Transformer model?</t>
        </is>
      </c>
      <c r="E10" s="245" t="inlineStr">
        <is>
          <t>The base Transformer model uses h = 8 parallel attention layers, or heads, as stated on [Source: 1706.03762v7.pdf, page 5]. This is also confirmed in Table 3 on [Source: 1706.03762v7.pdf, page 9], where the base model has h = 8.</t>
        </is>
      </c>
      <c r="F10" s="245" t="inlineStr">
        <is>
          <t xml:space="preserve">[Chunk 1]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2]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3]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4]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[Chunk 5]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t>
        </is>
      </c>
      <c r="G10" s="246" t="str"/>
      <c r="H10" s="246" t="str"/>
      <c r="I10" s="246" t="str"/>
      <c r="J10" s="246" t="str"/>
      <c r="K10" s="246" t="str"/>
      <c r="L10" s="246" t="str"/>
      <c r="M10" s="247" t="inlineStr">
        <is>
          <t>Pass</t>
        </is>
      </c>
      <c r="N10" s="245" t="inlineStr">
        <is>
          <t>Automated run.</t>
        </is>
      </c>
    </row>
    <row r="11" ht="48" customHeight="1" s="229">
      <c r="A11" s="242" t="n">
        <v>8</v>
      </c>
      <c r="B11" s="243" t="inlineStr">
        <is>
          <t>Factual</t>
        </is>
      </c>
      <c r="C11" s="242" t="inlineStr">
        <is>
          <t>Doc A</t>
        </is>
      </c>
      <c r="D11" s="244" t="inlineStr">
        <is>
          <t>What optimizer and beta values are used during Transformer training?</t>
        </is>
      </c>
      <c r="E11" s="245" t="inlineStr">
        <is>
          <t>I don't have enough information to answer this. 
The provided context does not mention the optimizer or beta values used during Transformer training. It discusses other aspects such as model variations, label smoothing, and regularization, but does not provide information about the optimizer or beta values. [Source: 1706.03762v7.pdf, pages 7-8]</t>
        </is>
      </c>
      <c r="F11" s="245" t="inlineStr">
        <is>
          <t xml:space="preserve">[Chunk 1]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2]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3]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4]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5]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
        </is>
      </c>
      <c r="G11" s="246" t="str"/>
      <c r="H11" s="246" t="str"/>
      <c r="I11" s="246" t="str"/>
      <c r="J11" s="246" t="str"/>
      <c r="K11" s="246" t="str"/>
      <c r="L11" s="246" t="str"/>
      <c r="M11" s="247" t="inlineStr">
        <is>
          <t>Fail</t>
        </is>
      </c>
      <c r="N11" s="245" t="inlineStr">
        <is>
          <t>Automated run: answer said insufficient information.</t>
        </is>
      </c>
    </row>
    <row r="12" ht="48" customHeight="1" s="229">
      <c r="A12" s="242" t="n">
        <v>9</v>
      </c>
      <c r="B12" s="243" t="inlineStr">
        <is>
          <t>Factual</t>
        </is>
      </c>
      <c r="C12" s="242" t="inlineStr">
        <is>
          <t>Doc A</t>
        </is>
      </c>
      <c r="D12" s="244" t="inlineStr">
        <is>
          <t>How many warmup steps are used in the Transformer learning-rate schedule?</t>
        </is>
      </c>
      <c r="E12" s="245" t="inlineStr">
        <is>
          <t>According to the context, specifically [Source: 1706.03762v7.pdf, page 7], "We used warmup_steps = 4000."</t>
        </is>
      </c>
      <c r="F12" s="245" t="inlineStr">
        <is>
          <t xml:space="preserve">[Chunk 1]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[Chunk 2]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3]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4]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12" s="246" t="str"/>
      <c r="H12" s="246" t="str"/>
      <c r="I12" s="246" t="str"/>
      <c r="J12" s="246" t="str"/>
      <c r="K12" s="246" t="str"/>
      <c r="L12" s="246" t="str"/>
      <c r="M12" s="247" t="inlineStr">
        <is>
          <t>Pass</t>
        </is>
      </c>
      <c r="N12" s="245" t="inlineStr">
        <is>
          <t>Automated run.</t>
        </is>
      </c>
    </row>
    <row r="13" ht="48" customHeight="1" s="229">
      <c r="A13" s="242" t="n">
        <v>10</v>
      </c>
      <c r="B13" s="243" t="inlineStr">
        <is>
          <t>Factual</t>
        </is>
      </c>
      <c r="C13" s="242" t="inlineStr">
        <is>
          <t>Doc A</t>
        </is>
      </c>
      <c r="D13" s="244" t="inlineStr">
        <is>
          <t>What F1 score did the semi-supervised 4-layer Transformer achieve on WSJ Section 23 parsing?</t>
        </is>
      </c>
      <c r="E13" s="245" t="inlineStr">
        <is>
          <t>The semi-supervised 4-layer Transformer achieved an F1 score of 92.7 on WSJ Section 23 parsing. [Source: 1706.03762v7.pdf, page 10, Table 4]</t>
        </is>
      </c>
      <c r="F13" s="245" t="inlineStr">
        <is>
          <t xml:space="preserve">[Chunk 1]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1
| Parser | Training | WSJ 23 F1 |
| --- | --- | --- |
| Vinyals &amp; Kaiser el al. (2014) [37] Petrov et al. (2006) [29] Zhu et al. (2013) [40] Dyer et al. (2016) [8] | WSJ only, discriminative WSJ only, discriminative WSJ only, discriminative WSJ only, discriminative | 88.3 90.4 90.4 91.7 |
| Transformer (4 layers) | WSJ only, discriminative | 91.3 |
| Zhu et al. (2013) [40] Huang &amp; Harper (2009) [14] McClosky et al. (2006) [26] Vinyals &amp; Kaiser el al. (2014) [37] | semi-supervised semi-supervised semi-supervised semi-supervised | 91.3 91.3 92.1 92.1 |
| Transformer (4 layers) | semi-supervised | 92.7 |
| Luong et al. (2015) [23] Dyer et al. (2016) [8] | multi-task generative | 93.0 93.3 |
[Chunk 4]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5]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t>
        </is>
      </c>
      <c r="G13" s="246" t="str"/>
      <c r="H13" s="246" t="str"/>
      <c r="I13" s="246" t="str"/>
      <c r="J13" s="246" t="str"/>
      <c r="K13" s="246" t="str"/>
      <c r="L13" s="246" t="str"/>
      <c r="M13" s="247" t="inlineStr">
        <is>
          <t>Pass</t>
        </is>
      </c>
      <c r="N13" s="245" t="inlineStr">
        <is>
          <t>Automated run.</t>
        </is>
      </c>
    </row>
    <row r="14" ht="48" customHeight="1" s="229">
      <c r="A14" s="242" t="n">
        <v>11</v>
      </c>
      <c r="B14" s="243" t="inlineStr">
        <is>
          <t>Factual</t>
        </is>
      </c>
      <c r="C14" s="242" t="inlineStr">
        <is>
          <t>Doc B</t>
        </is>
      </c>
      <c r="D14" s="244" t="inlineStr">
        <is>
          <t>What does RAGAS stand for?</t>
        </is>
      </c>
      <c r="E14" s="245" t="inlineStr">
        <is>
          <t>RAGAS stands for Retrieval Augmented Generation Assessment. [Source: 2309.15217v2.pdf, page 1]</t>
        </is>
      </c>
      <c r="F14"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4" s="246" t="str"/>
      <c r="H14" s="246" t="str"/>
      <c r="I14" s="246" t="str"/>
      <c r="J14" s="246" t="str"/>
      <c r="K14" s="246" t="str"/>
      <c r="L14" s="246" t="str"/>
      <c r="M14" s="247" t="inlineStr">
        <is>
          <t>Pass</t>
        </is>
      </c>
      <c r="N14" s="245" t="inlineStr">
        <is>
          <t>Automated run.</t>
        </is>
      </c>
    </row>
    <row r="15" ht="48" customHeight="1" s="229">
      <c r="A15" s="242" t="n">
        <v>12</v>
      </c>
      <c r="B15" s="243" t="inlineStr">
        <is>
          <t>Factual</t>
        </is>
      </c>
      <c r="C15" s="242" t="inlineStr">
        <is>
          <t>Doc B</t>
        </is>
      </c>
      <c r="D15" s="244" t="inlineStr">
        <is>
          <t>What three RAG quality aspects does the RAGAS paper focus on?</t>
        </is>
      </c>
      <c r="E15" s="245" t="inlineStr">
        <is>
          <t>The RAGAS paper focuses on three quality aspects: 
1. Faithfulness, 
2. Answer Relevance, and 
3. Context Relevance. 
[Source: 2309.15217v2.pdf, page 3]</t>
        </is>
      </c>
      <c r="F15"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15" s="246" t="str"/>
      <c r="H15" s="246" t="str"/>
      <c r="I15" s="246" t="str"/>
      <c r="J15" s="246" t="str"/>
      <c r="K15" s="246" t="str"/>
      <c r="L15" s="246" t="str"/>
      <c r="M15" s="247" t="inlineStr">
        <is>
          <t>Pass</t>
        </is>
      </c>
      <c r="N15" s="245" t="inlineStr">
        <is>
          <t>Automated run.</t>
        </is>
      </c>
    </row>
    <row r="16" ht="48" customHeight="1" s="229">
      <c r="A16" s="242" t="n">
        <v>13</v>
      </c>
      <c r="B16" s="243" t="inlineStr">
        <is>
          <t>Factual</t>
        </is>
      </c>
      <c r="C16" s="242" t="inlineStr">
        <is>
          <t>Doc B</t>
        </is>
      </c>
      <c r="D16" s="244" t="inlineStr">
        <is>
          <t>Which dataset did the RAGAS authors create for evaluation?</t>
        </is>
      </c>
      <c r="E16" s="245" t="inlineStr">
        <is>
          <t>The RAGAS authors created the WikiEval dataset for evaluation [Source: 2309.15217v2.pdf, page 5].</t>
        </is>
      </c>
      <c r="F16"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3]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4]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5]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t>
        </is>
      </c>
      <c r="G16" s="246" t="str"/>
      <c r="H16" s="246" t="str"/>
      <c r="I16" s="246" t="str"/>
      <c r="J16" s="246" t="str"/>
      <c r="K16" s="246" t="str"/>
      <c r="L16" s="246" t="str"/>
      <c r="M16" s="247" t="inlineStr">
        <is>
          <t>Pass</t>
        </is>
      </c>
      <c r="N16" s="245" t="inlineStr">
        <is>
          <t>Automated run.</t>
        </is>
      </c>
    </row>
    <row r="17" ht="48" customHeight="1" s="229">
      <c r="A17" s="242" t="n">
        <v>14</v>
      </c>
      <c r="B17" s="243" t="inlineStr">
        <is>
          <t>Factual</t>
        </is>
      </c>
      <c r="C17" s="242" t="inlineStr">
        <is>
          <t>Doc B</t>
        </is>
      </c>
      <c r="D17" s="244" t="inlineStr">
        <is>
          <t>How many Wikipedia pages were selected to construct WikiEval?</t>
        </is>
      </c>
      <c r="E17" s="245" t="inlineStr">
        <is>
          <t>According to the context [Source: 2309.15217v2.pdf, page 4], 50 Wikipedia pages were selected to construct the WikiEval dataset. 
"In selecting these pages, we prioritised those with recent edits. For each of the 50 pages, we then asked ChatGPT to suggest a question that can be answered based on the introductory section of the page..."</t>
        </is>
      </c>
      <c r="F17" s="245" t="inlineStr">
        <is>
          <t xml:space="preserve">[Chunk 1] 2309.15217v2.pdf, page 4
with human assessments of faithfulness, answer
relevance and context relevance. Since we are not
aware of any publicly available datasets that could
be used for this purpose, we created a new dataset,
which we refer to as WikiEval4. To construct the
dataset, we first selected 50 Wikipedia pages cov-
ering events that have happened since the start of
20225. In selecting these pages, we prioritised
those with recent edits. For each of the 50 pages,
we then asked ChatGPT to suggest a question that
can be answered based on the introductory section
of the page, using the following prompt:
Your task is to formulate a question from
given context satisfying the rules given
below:
1. The question should be fully answered
from the given context.
2. The question should be framed from
a part that contains non-trivial informa-
tion.
3. The answer should not contain any
4https://huggingface.co/datasets/
explodinggradients/WikiEval
5That is, beyond the reported training cutoff of the model
we used in our experiments.
links.
4. The question should be of moderate
difficulty.
5. The question must be reasonable and
must be understood and responded to by
humans.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4
inclusion of redundant information. To estimate
context relevance, given a question q and its con-
text c(q), the LLM extracts a subset of sentences,
Sext, from c(q) that are crucial to answer q, using
the following prompt:
Please extract relevant sentences from
the provided context that can potentially
help answer the following question. If no
relevant sentences are found, or if you
believe the question cannot be answered
from the given context, return the phrase
"Insufficient Information". While extract-
ing candidate sentences you’re not al-
lowed to make any changes to sentences
from given context.
The context relevance score is then computed as:
CR =
number of extracted sentences
total number of sentences in c(q)
(2)
4
The WikiEval Dataset
To evaluate the proposed framework, we ideally
need examples of question-context-answer triples
which are annotated with human judgments. We
can then verify to what extent our metrics agree
with human assessments of faithfulness, answer
relevance and context relevance. Since we are not
aware of any publicly available datasets that could
be used for this purpose, we created a new dataset,
which we refer to as WikiEval4. To construct the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17" s="246" t="str"/>
      <c r="H17" s="246" t="str"/>
      <c r="I17" s="246" t="str"/>
      <c r="J17" s="246" t="str"/>
      <c r="K17" s="246" t="str"/>
      <c r="L17" s="246" t="str"/>
      <c r="M17" s="247" t="inlineStr">
        <is>
          <t>Pass</t>
        </is>
      </c>
      <c r="N17" s="245" t="inlineStr">
        <is>
          <t>Automated run.</t>
        </is>
      </c>
    </row>
    <row r="18" ht="48" customHeight="1" s="229">
      <c r="A18" s="242" t="n">
        <v>15</v>
      </c>
      <c r="B18" s="243" t="inlineStr">
        <is>
          <t>Factual</t>
        </is>
      </c>
      <c r="C18" s="242" t="inlineStr">
        <is>
          <t>Doc B</t>
        </is>
      </c>
      <c r="D18" s="244" t="inlineStr">
        <is>
          <t>What model did the RAGAS implementation use for prompting in the paper experiments?</t>
        </is>
      </c>
      <c r="E18" s="245" t="inlineStr">
        <is>
          <t>I don't have enough information to answer this. 
The provided context does not mention the specific model used for prompting in the paper experiments. (Source: 2309.15217v2.pdf, pages 1-5)</t>
        </is>
      </c>
      <c r="F18"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8" s="246" t="str"/>
      <c r="H18" s="246" t="str"/>
      <c r="I18" s="246" t="str"/>
      <c r="J18" s="246" t="str"/>
      <c r="K18" s="246" t="str"/>
      <c r="L18" s="246" t="str"/>
      <c r="M18" s="247" t="inlineStr">
        <is>
          <t>Fail</t>
        </is>
      </c>
      <c r="N18" s="245" t="inlineStr">
        <is>
          <t>Automated run: answer said insufficient information.</t>
        </is>
      </c>
    </row>
    <row r="19" ht="48" customHeight="1" s="229">
      <c r="A19" s="242" t="n">
        <v>16</v>
      </c>
      <c r="B19" s="243" t="inlineStr">
        <is>
          <t>Factual</t>
        </is>
      </c>
      <c r="C19" s="242" t="inlineStr">
        <is>
          <t>Doc B</t>
        </is>
      </c>
      <c r="D19" s="244" t="inlineStr">
        <is>
          <t>What are the RAGAS Table 1 agreement scores for faithfulness and answer relevance?</t>
        </is>
      </c>
      <c r="E19" s="245" t="inlineStr">
        <is>
          <t>According to Table 1 [Source: 2309.15217v2.pdf, page 5], the agreement scores for Ragas are: 
- Faithfulness: 0.95 
- Answer Relevance: 0.78 
These scores represent the accuracy of Ragas in agreeing with human annotators for faithfulness and answer relevance. [Source: 2309.15217v2.pdf, page 5]</t>
        </is>
      </c>
      <c r="F19"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19" s="246" t="str"/>
      <c r="H19" s="246" t="str"/>
      <c r="I19" s="246" t="str"/>
      <c r="J19" s="246" t="str"/>
      <c r="K19" s="246" t="str"/>
      <c r="L19" s="246" t="str"/>
      <c r="M19" s="247" t="inlineStr">
        <is>
          <t>Pass</t>
        </is>
      </c>
      <c r="N19" s="245" t="inlineStr">
        <is>
          <t>Automated run.</t>
        </is>
      </c>
    </row>
    <row r="20" ht="48" customHeight="1" s="229">
      <c r="A20" s="242" t="n">
        <v>17</v>
      </c>
      <c r="B20" s="243" t="inlineStr">
        <is>
          <t>Factual</t>
        </is>
      </c>
      <c r="C20" s="242" t="inlineStr">
        <is>
          <t>Doc C</t>
        </is>
      </c>
      <c r="D20" s="244" t="inlineStr">
        <is>
          <t>What is retrieval-augmented generation according to the Wikipedia article?</t>
        </is>
      </c>
      <c r="E20" s="245" t="inlineStr">
        <is>
          <t>According to the Wikipedia article, Retrieval-augmented generation (RAG) is a technique that enables large language models (LLMs) to retrieve and incorporate new information from external data sources [1] (Source: Retrieval-augmented generation - Wikipedia.pdf, page 1). It is a way of improving LLM performance by blending the LLM process with a web search or other document retrieval [1] (Source: Retrieval-augmented generation - Wikipedia.pdf, page 1).</t>
        </is>
      </c>
      <c r="F20" s="245" t="inlineStr">
        <is>
          <t xml:space="preserve">[Chunk 1]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Retrieval-augmented generation - Wikipedia.pdf, page 7
14/06/26, 2:27 PM
Retrieval-augmented generation - Wikipedia
Page 7 of 7
https://en.wikipedia.org/wiki/Retrieval-augmented_generation
Retrieved from "https://en.wikipedia.org/w/index.php?title=Retrieval-augmented_generation&amp;oldid=1359167488"
9. "Information retrieval" (https://learn.microsoft.com/en-us/azure/architecture/ai-ml/guide/rag/r
ag-information-retrieval). Microsoft. 10 January 2025. Retrieved 15 March 2025.
10. Khattab, Omar; Zaharia, Matei (2020). "ColBERT: Efﬁcient and Effective Passage Search
via Contextualized Late Interaction over BERT" (https://dl.acm.org/doi/10.1145/3397271.340
1075). Proceedings of the 43rd International ACM SIGIR Conference on Research and
Development in Information Retrieval. pp. 39–48. doi:10.1145/3397271.3401075 (https://doi.
org/10.1145%2F3397271.3401075). ISBN 978-1-4503-8016-4.
11. Wang, Yup; Conroy, John M.; Molino, Neil; Yang, Julia; Green, Mike (2024). "Laboratory for
Analytic Sciences in TREC 2024 Retrieval Augmented Generation Track" (https://trec.nist.g
ov/pubs/trec33/index.html). NIST TREC 2024. Retrieved 15 March 2025.
12. Lee, Kenton; Chang, Ming-Wei; Toutanova, Kristina (2019). " "Latent Retrieval for Weakly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20" s="246" t="str"/>
      <c r="H20" s="246" t="str"/>
      <c r="I20" s="246" t="str"/>
      <c r="J20" s="246" t="str"/>
      <c r="K20" s="246" t="str"/>
      <c r="L20" s="246" t="str"/>
      <c r="M20" s="247" t="inlineStr">
        <is>
          <t>Pass</t>
        </is>
      </c>
      <c r="N20" s="245" t="inlineStr">
        <is>
          <t>Automated run.</t>
        </is>
      </c>
    </row>
    <row r="21" ht="48" customHeight="1" s="229">
      <c r="A21" s="242" t="n">
        <v>18</v>
      </c>
      <c r="B21" s="243" t="inlineStr">
        <is>
          <t>Factual</t>
        </is>
      </c>
      <c r="C21" s="242" t="inlineStr">
        <is>
          <t>Doc C</t>
        </is>
      </c>
      <c r="D21" s="244" t="inlineStr">
        <is>
          <t>What are the typical data types RAG can be used on?</t>
        </is>
      </c>
      <c r="E21" s="245" t="inlineStr">
        <is>
          <t>According to the context [Source: Retrieval-augmented generation - Wikipedia.pdf, page 2], RAG can be used on "unstructured (usually text), semi-structured, or structured data (for example knowledge graphs)".</t>
        </is>
      </c>
      <c r="F21"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1" s="246" t="str"/>
      <c r="H21" s="246" t="str"/>
      <c r="I21" s="246" t="str"/>
      <c r="J21" s="246" t="str"/>
      <c r="K21" s="246" t="str"/>
      <c r="L21" s="246" t="str"/>
      <c r="M21" s="247" t="inlineStr">
        <is>
          <t>Pass</t>
        </is>
      </c>
      <c r="N21" s="245" t="inlineStr">
        <is>
          <t>Automated run.</t>
        </is>
      </c>
    </row>
    <row r="22" ht="48" customHeight="1" s="229">
      <c r="A22" s="242" t="n">
        <v>19</v>
      </c>
      <c r="B22" s="243" t="inlineStr">
        <is>
          <t>Factual</t>
        </is>
      </c>
      <c r="C22" s="242" t="inlineStr">
        <is>
          <t>Doc C</t>
        </is>
      </c>
      <c r="D22" s="244" t="inlineStr">
        <is>
          <t>What are the three chunking strategies listed in the Wikipedia article?</t>
        </is>
      </c>
      <c r="E22" s="245" t="inlineStr">
        <is>
          <t>According to the Wikipedia article on Retrieval-augmented generation (Source: Retrieval-augmented generation - Wikipedia.pdf, page 5), the three chunking strategies are:
1. Fixed length with overlap
2. Syntax-based chunks
3. File format-based chunking
These strategies are used to break up the data into vectors so the retriever can find details in it (Source: Retrieval-augmented generation - Wikipedia.pdf, page 4).</t>
        </is>
      </c>
      <c r="F22" s="245" t="inlineStr">
        <is>
          <t xml:space="preserve">[Chunk 1]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2]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t>
        </is>
      </c>
      <c r="G22" s="246" t="str"/>
      <c r="H22" s="246" t="str"/>
      <c r="I22" s="246" t="str"/>
      <c r="J22" s="246" t="str"/>
      <c r="K22" s="246" t="str"/>
      <c r="L22" s="246" t="str"/>
      <c r="M22" s="247" t="inlineStr">
        <is>
          <t>Pass</t>
        </is>
      </c>
      <c r="N22" s="245" t="inlineStr">
        <is>
          <t>Automated run.</t>
        </is>
      </c>
    </row>
    <row r="23" ht="48" customHeight="1" s="229">
      <c r="A23" s="242" t="n">
        <v>20</v>
      </c>
      <c r="B23" s="243" t="inlineStr">
        <is>
          <t>Factual</t>
        </is>
      </c>
      <c r="C23" s="242" t="inlineStr">
        <is>
          <t>Doc C</t>
        </is>
      </c>
      <c r="D23" s="244" t="inlineStr">
        <is>
          <t>What limitation does the article describe under RAG poisoning?</t>
        </is>
      </c>
      <c r="E23" s="245" t="inlineStr">
        <is>
          <t>I don't have enough information to answer this. 
The provided context does not contain information about "RAG poisoning" limitations, it only mentions "RAG poisoning" in the references section on page 6, but does not elaborate on it. (Source: Retrieval-augmented generation - Wikipedia.pdf, page 6)</t>
        </is>
      </c>
      <c r="F2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5]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t>
        </is>
      </c>
      <c r="G23" s="246" t="str"/>
      <c r="H23" s="246" t="str"/>
      <c r="I23" s="246" t="str"/>
      <c r="J23" s="246" t="str"/>
      <c r="K23" s="246" t="str"/>
      <c r="L23" s="246" t="str"/>
      <c r="M23" s="247" t="inlineStr">
        <is>
          <t>Fail</t>
        </is>
      </c>
      <c r="N23" s="245" t="inlineStr">
        <is>
          <t>Automated run: answer said insufficient information.</t>
        </is>
      </c>
    </row>
    <row r="24" ht="48" customHeight="1" s="229">
      <c r="A24" s="248" t="n">
        <v>21</v>
      </c>
      <c r="B24" s="249" t="inlineStr">
        <is>
          <t>Paraphrased</t>
        </is>
      </c>
      <c r="C24" s="248" t="inlineStr">
        <is>
          <t>Doc A</t>
        </is>
      </c>
      <c r="D24" s="250" t="inlineStr">
        <is>
          <t>In your own words, what problem with sequential models motivated the Transformer?</t>
        </is>
      </c>
      <c r="E24" s="245" t="inlineStr">
        <is>
          <t>The problem with sequential models that motivated the Transformer is the fundamental constraint of sequential computation, which limits parallelization and makes it difficult to model dependencies between distant positions in input or output sequences (Source: 1706.03762v7.pdf, page 2).</t>
        </is>
      </c>
      <c r="F24"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5]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t>
        </is>
      </c>
      <c r="G24" s="246" t="str"/>
      <c r="H24" s="246" t="str"/>
      <c r="I24" s="246" t="str"/>
      <c r="J24" s="246" t="str"/>
      <c r="K24" s="246" t="str"/>
      <c r="L24" s="246" t="str"/>
      <c r="M24" s="247" t="inlineStr">
        <is>
          <t>Pass</t>
        </is>
      </c>
      <c r="N24" s="245" t="inlineStr">
        <is>
          <t>Automated run.</t>
        </is>
      </c>
    </row>
    <row r="25" ht="48" customHeight="1" s="229">
      <c r="A25" s="248" t="n">
        <v>22</v>
      </c>
      <c r="B25" s="249" t="inlineStr">
        <is>
          <t>Paraphrased</t>
        </is>
      </c>
      <c r="C25" s="248" t="inlineStr">
        <is>
          <t>Doc A</t>
        </is>
      </c>
      <c r="D25" s="250" t="inlineStr">
        <is>
          <t>How does the paper explain why self-attention helps with long-range dependencies?</t>
        </is>
      </c>
      <c r="E25" s="245" t="inlineStr">
        <is>
          <t>According to the paper, self-attention helps with long-range dependencies because it allows for a shorter path length between any combination of positions in the input and output sequences. As stated on [Source: 1706.03762v7.pdf, page 6], "The shorter these paths between any combination of positions in the input and output sequences, the easier it is to learn long-range dependencies [12]". This is in contrast to recurrent layers, which require O(n) sequential operations, whereas self-attention layers connect all positions with a constant number of sequentially executed operations (as noted in [Source: 1706.03762v7.pdf, page 6] and Table 1).</t>
        </is>
      </c>
      <c r="F25" s="245" t="inlineStr">
        <is>
          <t xml:space="preserve">[Chunk 1]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5]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t>
        </is>
      </c>
      <c r="G25" s="246" t="str"/>
      <c r="H25" s="246" t="str"/>
      <c r="I25" s="246" t="str"/>
      <c r="J25" s="246" t="str"/>
      <c r="K25" s="246" t="str"/>
      <c r="L25" s="246" t="str"/>
      <c r="M25" s="247" t="inlineStr">
        <is>
          <t>Pass</t>
        </is>
      </c>
      <c r="N25" s="245" t="inlineStr">
        <is>
          <t>Automated run.</t>
        </is>
      </c>
    </row>
    <row r="26" ht="48" customHeight="1" s="229">
      <c r="A26" s="248" t="n">
        <v>23</v>
      </c>
      <c r="B26" s="249" t="inlineStr">
        <is>
          <t>Paraphrased</t>
        </is>
      </c>
      <c r="C26" s="248" t="inlineStr">
        <is>
          <t>Doc A</t>
        </is>
      </c>
      <c r="D26" s="250" t="inlineStr">
        <is>
          <t>Restate why the authors used sinusoidal positional encodings instead of relying only on recurrence or convolution.</t>
        </is>
      </c>
      <c r="E26" s="245" t="inlineStr">
        <is>
          <t>The authors used sinusoidal positional encodings because they hypothesized it would allow the model to easily learn to attend by relative positions, and it may also allow the model to extrapolate to sequence lengths longer than the ones encountered during training [Source: 1706.03762v7.pdf, page 6]. Additionally, they found that using sinusoidal positional encodings produced nearly identical results to using learned positional embeddings [Source: 1706.03762v7.pdf, page 6, and page 9, Table 3 row (E)].</t>
        </is>
      </c>
      <c r="F26" s="245" t="inlineStr">
        <is>
          <t xml:space="preserve">[Chunk 1] 1706.03762v7.pdf, page 6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
[Chunk 2]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3]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t>
        </is>
      </c>
      <c r="G26" s="246" t="str"/>
      <c r="H26" s="246" t="str"/>
      <c r="I26" s="246" t="str"/>
      <c r="J26" s="246" t="str"/>
      <c r="K26" s="246" t="str"/>
      <c r="L26" s="246" t="str"/>
      <c r="M26" s="247" t="inlineStr">
        <is>
          <t>Pass</t>
        </is>
      </c>
      <c r="N26" s="245" t="inlineStr">
        <is>
          <t>Automated run.</t>
        </is>
      </c>
    </row>
    <row r="27" ht="48" customHeight="1" s="229">
      <c r="A27" s="248" t="n">
        <v>24</v>
      </c>
      <c r="B27" s="249" t="inlineStr">
        <is>
          <t>Paraphrased</t>
        </is>
      </c>
      <c r="C27" s="248" t="inlineStr">
        <is>
          <t>Doc A</t>
        </is>
      </c>
      <c r="D27" s="250" t="inlineStr">
        <is>
          <t>What is the paper’s practical reason for using multiple attention heads rather than one?</t>
        </is>
      </c>
      <c r="E27" s="245" t="inlineStr">
        <is>
          <t>I don't have enough information to answer this. 
The provided context does not explicitly state the practical reason for using multiple attention heads rather than one. While it does describe the behavior of multiple attention heads in Figures 3, 4, and 5 (Source: 1706.03762v7.pdf, pages 13, 14, and 15), it does not provide a clear explanation for why multiple heads are used.</t>
        </is>
      </c>
      <c r="F27" s="245" t="inlineStr">
        <is>
          <t xml:space="preserve">[Chunk 1] 1706.03762v7.pdf, page 15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5: Many of the attention heads exhibit behaviour that seems related to the structure of the
sentence. We give two such examples above, from two different heads from the encoder self-attention
at layer 5 of 6. The heads clearly learned to perform different tasks.
15
[Chunk 2]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5]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t>
        </is>
      </c>
      <c r="G27" s="246" t="str"/>
      <c r="H27" s="246" t="str"/>
      <c r="I27" s="246" t="str"/>
      <c r="J27" s="246" t="str"/>
      <c r="K27" s="246" t="str"/>
      <c r="L27" s="246" t="str"/>
      <c r="M27" s="247" t="inlineStr">
        <is>
          <t>Fail</t>
        </is>
      </c>
      <c r="N27" s="245" t="inlineStr">
        <is>
          <t>Automated run: answer said insufficient information.</t>
        </is>
      </c>
    </row>
    <row r="28" ht="48" customHeight="1" s="229">
      <c r="A28" s="248" t="n">
        <v>25</v>
      </c>
      <c r="B28" s="249" t="inlineStr">
        <is>
          <t>Paraphrased</t>
        </is>
      </c>
      <c r="C28" s="248" t="inlineStr">
        <is>
          <t>Doc A</t>
        </is>
      </c>
      <c r="D28" s="250" t="inlineStr">
        <is>
          <t>Summarize how the decoder is prevented from looking ahead to future tokens.</t>
        </is>
      </c>
      <c r="E28" s="245" t="inlineStr">
        <is>
          <t>The decoder is prevented from looking ahead to future tokens through a masking mechanism in the self-attention sub-layer. This is done by "masking out (setting to −∞) all values in the input of the softmax which correspond to illegal connections" (Source: 1706.03762v7.pdf, page 5). Additionally, the output embeddings are offset by one position, ensuring that the predictions for position i can depend only on the known outputs at positions less than i (Source: 1706.03762v7.pdf, page 3).</t>
        </is>
      </c>
      <c r="F28" s="245" t="inlineStr">
        <is>
          <t xml:space="preserve">[Chunk 1]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2]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5] 1706.03762v7.pdf, page 2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t>
        </is>
      </c>
      <c r="G28" s="246" t="str"/>
      <c r="H28" s="246" t="str"/>
      <c r="I28" s="246" t="str"/>
      <c r="J28" s="246" t="str"/>
      <c r="K28" s="246" t="str"/>
      <c r="L28" s="246" t="str"/>
      <c r="M28" s="247" t="inlineStr">
        <is>
          <t>Pass</t>
        </is>
      </c>
      <c r="N28" s="245" t="inlineStr">
        <is>
          <t>Automated run.</t>
        </is>
      </c>
    </row>
    <row r="29" ht="48" customHeight="1" s="229">
      <c r="A29" s="248" t="n">
        <v>26</v>
      </c>
      <c r="B29" s="249" t="inlineStr">
        <is>
          <t>Paraphrased</t>
        </is>
      </c>
      <c r="C29" s="248" t="inlineStr">
        <is>
          <t>Doc B</t>
        </is>
      </c>
      <c r="D29" s="250" t="inlineStr">
        <is>
          <t>Explain why automated evaluation is important for RAG systems, using the RAGAS paper’s reasoning.</t>
        </is>
      </c>
      <c r="E29" s="245" t="inlineStr">
        <is>
          <t>According to the RAGAS paper (Source: 2309.15217v2.pdf, page 1), automated evaluation of RAG systems is important because their implementation requires a significant amount of tuning, and their performance can be affected by various factors such as the retrieval model, the considered corpus, the LM, or the prompt formulation. Additionally, evaluating RAG systems in terms of the language modelling task itself, such as measuring perplexity on a reference corpus, may not always be predictive of downstream performance (Source: 2309.15217v2.pdf, page 1, Wang et al., 2023c). Furthermore, this evaluation strategy relies on LM probabilities, which are not accessible for some closed models (e.g. ChatGPT and GPT-4) (Source: 2309.15217v2.pdf, page 1). Therefore, automated evaluation is necessary to assess the quality of RAG systems effectively.</t>
        </is>
      </c>
      <c r="F29"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9" s="246" t="str"/>
      <c r="H29" s="246" t="str"/>
      <c r="I29" s="246" t="str"/>
      <c r="J29" s="246" t="str"/>
      <c r="K29" s="246" t="str"/>
      <c r="L29" s="246" t="str"/>
      <c r="M29" s="247" t="inlineStr">
        <is>
          <t>Pass</t>
        </is>
      </c>
      <c r="N29" s="245" t="inlineStr">
        <is>
          <t>Automated run.</t>
        </is>
      </c>
    </row>
    <row r="30" ht="48" customHeight="1" s="229">
      <c r="A30" s="248" t="n">
        <v>27</v>
      </c>
      <c r="B30" s="249" t="inlineStr">
        <is>
          <t>Paraphrased</t>
        </is>
      </c>
      <c r="C30" s="248" t="inlineStr">
        <is>
          <t>Doc B</t>
        </is>
      </c>
      <c r="D30" s="250" t="inlineStr">
        <is>
          <t>How does the RAGAS paper define faithfulness in plain language?</t>
        </is>
      </c>
      <c r="E30" s="245" t="inlineStr">
        <is>
          <t>According to the context [Source: 2309.15217v2.pdf, page 5], faithfulness is defined as "the information consistency of the answer against the given context. Any claims that are made in the answer that cannot be deduced from context should be penalized." In simpler terms, faithfulness means that the answer should only make claims that can be inferred from the provided context. [Source: 2309.15217v2.pdf, page 3] also explains that faithfulness refers to the answer being "faithful to the context" if the claims made in the answer can be inferred from the context.</t>
        </is>
      </c>
      <c r="F3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30" s="246" t="str"/>
      <c r="H30" s="246" t="str"/>
      <c r="I30" s="246" t="str"/>
      <c r="J30" s="246" t="str"/>
      <c r="K30" s="246" t="str"/>
      <c r="L30" s="246" t="str"/>
      <c r="M30" s="247" t="inlineStr">
        <is>
          <t>Pass</t>
        </is>
      </c>
      <c r="N30" s="245" t="inlineStr">
        <is>
          <t>Automated run.</t>
        </is>
      </c>
    </row>
    <row r="31" ht="48" customHeight="1" s="229">
      <c r="A31" s="248" t="n">
        <v>28</v>
      </c>
      <c r="B31" s="249" t="inlineStr">
        <is>
          <t>Paraphrased</t>
        </is>
      </c>
      <c r="C31" s="248" t="inlineStr">
        <is>
          <t>Doc B</t>
        </is>
      </c>
      <c r="D31" s="250" t="inlineStr">
        <is>
          <t>What does answer relevance measure, ignoring whether the answer is factually correct?</t>
        </is>
      </c>
      <c r="E31" s="245" t="inlineStr">
        <is>
          <t>According to [Source: 2309.15217v2.pdf, page 5], answer relevance measures "the degree to which a response directly addresses and is appropriate for a given question. It penalizes the present of redundant information or incomplete answers given a question." 
Additionally, [Source: 2309.15217v2.pdf, page 3] states that answer relevance does not take into account factuality, but rather assesses how closely the generated answer aligns with the initial question or instruction.</t>
        </is>
      </c>
      <c r="F31" s="245" t="inlineStr">
        <is>
          <t xml:space="preserve">[Chunk 1]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[Chunk 2]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3]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4] 2309.15217v2.pdf, page 3
question q, as the cosine between the correspond-
ing embeddings. The answer relevance score, AR,
for question q is then computed as:
AR = 1
n
n
X
i=1
sim(q, qi)
(1)
This metric evaluates how closely the generated
answer aligns with the initial question or instruc-
tion.
Context relevance
The context c(q) is consid-
ered relevant to the extent that it exclusively con-
tains information that is needed to answer the ques-
tion. In particular, this metric aims to penalise the
[Chunk 5]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t>
        </is>
      </c>
      <c r="G31" s="246" t="str"/>
      <c r="H31" s="246" t="str"/>
      <c r="I31" s="246" t="str"/>
      <c r="J31" s="246" t="str"/>
      <c r="K31" s="246" t="str"/>
      <c r="L31" s="246" t="str"/>
      <c r="M31" s="247" t="inlineStr">
        <is>
          <t>Pass</t>
        </is>
      </c>
      <c r="N31" s="245" t="inlineStr">
        <is>
          <t>Automated run.</t>
        </is>
      </c>
    </row>
    <row r="32" ht="48" customHeight="1" s="229">
      <c r="A32" s="248" t="n">
        <v>29</v>
      </c>
      <c r="B32" s="249" t="inlineStr">
        <is>
          <t>Paraphrased</t>
        </is>
      </c>
      <c r="C32" s="248" t="inlineStr">
        <is>
          <t>Doc B</t>
        </is>
      </c>
      <c r="D32" s="250" t="inlineStr">
        <is>
          <t>Describe how RAGAS computes a faithfulness score from generated statements.</t>
        </is>
      </c>
      <c r="E32" s="245" t="inlineStr">
        <is>
          <t>To compute a faithfulness score, RAGAS first extracts a set of statements from the generated answer using the prompt: "Given a question and answer, create one or more statements from each sentence in the given answer." (Source: 2309.15217v2.pdf, page 3). Then, for each statement, the LLM determines if it can be inferred from the context using a verification function with the prompt: "Consider the given context and following statements, then determine whether they are supported by the information present in the context." (Source: 2309.15217v2.pdf, page 3). The final faithfulness score, F, is then computed as F = |V| / |S|, where |V| is the number of statements that were supported according to the LLM and |S| is the total number of statements (Source: 2309.15217v2.pdf, page 3).</t>
        </is>
      </c>
      <c r="F32"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32" s="246" t="str"/>
      <c r="H32" s="246" t="str"/>
      <c r="I32" s="246" t="str"/>
      <c r="J32" s="246" t="str"/>
      <c r="K32" s="246" t="str"/>
      <c r="L32" s="246" t="str"/>
      <c r="M32" s="247" t="inlineStr">
        <is>
          <t>Pass</t>
        </is>
      </c>
      <c r="N32" s="245" t="inlineStr">
        <is>
          <t>Automated run.</t>
        </is>
      </c>
    </row>
    <row r="33" ht="48" customHeight="1" s="229">
      <c r="A33" s="248" t="n">
        <v>30</v>
      </c>
      <c r="B33" s="249" t="inlineStr">
        <is>
          <t>Paraphrased</t>
        </is>
      </c>
      <c r="C33" s="248" t="inlineStr">
        <is>
          <t>Doc B</t>
        </is>
      </c>
      <c r="D33" s="250" t="inlineStr">
        <is>
          <t>Why does the paper say context relevance matters for RAG evaluation?</t>
        </is>
      </c>
      <c r="E33" s="245" t="inlineStr">
        <is>
          <t>According to [Source: 2309.15217v2.pdf, page 3], context relevance matters for RAG evaluation because it refers to the idea that the retrieved context should be focused, containing as little irrelevant information as possible. This is important given the cost associated with feeding long context passages to LLMs, and when context passages are too long, LLMs are often less effective in exploiting them.</t>
        </is>
      </c>
      <c r="F33"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t>
        </is>
      </c>
      <c r="G33" s="246" t="str"/>
      <c r="H33" s="246" t="str"/>
      <c r="I33" s="246" t="str"/>
      <c r="J33" s="246" t="str"/>
      <c r="K33" s="246" t="str"/>
      <c r="L33" s="246" t="str"/>
      <c r="M33" s="247" t="inlineStr">
        <is>
          <t>Pass</t>
        </is>
      </c>
      <c r="N33" s="245" t="inlineStr">
        <is>
          <t>Automated run.</t>
        </is>
      </c>
    </row>
    <row r="34" ht="48" customHeight="1" s="229">
      <c r="A34" s="248" t="n">
        <v>31</v>
      </c>
      <c r="B34" s="249" t="inlineStr">
        <is>
          <t>Paraphrased</t>
        </is>
      </c>
      <c r="C34" s="248" t="inlineStr">
        <is>
          <t>Doc C</t>
        </is>
      </c>
      <c r="D34" s="250" t="inlineStr">
        <is>
          <t>Explain RAG to a non-technical reader based on the Wikipedia article.</t>
        </is>
      </c>
      <c r="E34" s="245" t="inlineStr">
        <is>
          <t>According to the Wikipedia article on Retrieval-augmented generation (Page 1 of 7), RAG is a technique that helps large language models (LLMs) provide more accurate and up-to-date information by retrieving and incorporating new information from external data sources [1]. This means that LLMs can access information that is not available in their pre-existing training data, such as internal company data or authoritative sources (Page 1) [2]. 
RAG works by blending the LLM process with a web search or other document look-up process, which helps LLMs "stick to the facts" (Page 1). This approach reduces AI hallucinations, where chatbots provide incorrect information, and also reduces the need to retrain LLMs with new data, saving computational and financial costs (Page 1) [1]. 
In simpler terms, RAG is a way to improve the performance of LLMs by providing them with access to external information, which enables them to provide more accurate and reliable responses (Page 1) [1].</t>
        </is>
      </c>
      <c r="F34" s="245" t="inlineStr">
        <is>
          <t xml:space="preserve">[Chunk 1]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5]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t>
        </is>
      </c>
      <c r="G34" s="246" t="str"/>
      <c r="H34" s="246" t="str"/>
      <c r="I34" s="246" t="str"/>
      <c r="J34" s="246" t="str"/>
      <c r="K34" s="246" t="str"/>
      <c r="L34" s="246" t="str"/>
      <c r="M34" s="247" t="inlineStr">
        <is>
          <t>Pass</t>
        </is>
      </c>
      <c r="N34" s="245" t="inlineStr">
        <is>
          <t>Automated run.</t>
        </is>
      </c>
    </row>
    <row r="35" ht="48" customHeight="1" s="229">
      <c r="A35" s="248" t="n">
        <v>32</v>
      </c>
      <c r="B35" s="249" t="inlineStr">
        <is>
          <t>Paraphrased</t>
        </is>
      </c>
      <c r="C35" s="248" t="inlineStr">
        <is>
          <t>Doc C</t>
        </is>
      </c>
      <c r="D35" s="250" t="inlineStr">
        <is>
          <t>How does RAG reduce the need to retrain an LLM when new information becomes available?</t>
        </is>
      </c>
      <c r="E35" s="245" t="inlineStr">
        <is>
          <t>According to Ars Technica, as stated on [Source: Retrieval-augmented generation - Wikipedia.pdf, page 2], "when new information becomes available, rather than having to retrain the model, all that's needed is to augment the model's external knowledge base with the updated information" ("augmentation"). This means that RAG reduces the need to retrain an LLM by allowing the model to access and utilize additional data beyond its original training set, without requiring a full retraining of the model. [Source: Retrieval-augmented generation - Wikipedia.pdf, page 2]</t>
        </is>
      </c>
      <c r="F35"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5]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t>
        </is>
      </c>
      <c r="G35" s="246" t="str"/>
      <c r="H35" s="246" t="str"/>
      <c r="I35" s="246" t="str"/>
      <c r="J35" s="246" t="str"/>
      <c r="K35" s="246" t="str"/>
      <c r="L35" s="246" t="str"/>
      <c r="M35" s="247" t="inlineStr">
        <is>
          <t>Pass</t>
        </is>
      </c>
      <c r="N35" s="245" t="inlineStr">
        <is>
          <t>Automated run.</t>
        </is>
      </c>
    </row>
    <row r="36" ht="48" customHeight="1" s="229">
      <c r="A36" s="248" t="n">
        <v>33</v>
      </c>
      <c r="B36" s="249" t="inlineStr">
        <is>
          <t>Paraphrased</t>
        </is>
      </c>
      <c r="C36" s="248" t="inlineStr">
        <is>
          <t>Doc C</t>
        </is>
      </c>
      <c r="D36" s="250" t="inlineStr">
        <is>
          <t>What does the article mean when it says RAG can still hallucinate around source material?</t>
        </is>
      </c>
      <c r="E36" s="245" t="inlineStr">
        <is>
          <t>According to the article, when it says RAG can still hallucinate around source material, it means that even though RAG improves the accuracy of large language models (LLMs) by blending the LLM process with a web search or other document look-up process, the LLM can still generate incorrect information by misinterpreting the context of the source material. As stated on [Source: Retrieval-augmented generation - Wikipedia.pdf, page 5], "RAG does not prevent hallucinations in LLMs. According to Ars Technica, 'It is not a direct solution because the LLM can still hallucinate around the source material in its response.'" [4] This is also illustrated by an example on [Source: Retrieval-augmented generation - Wikipedia.pdf, page 1], where an LLM generated a false statement about Barack Hussein Obama being the first Muslim president of the United States, despite retrieving the information from a factually correct source, due to misinterpreting the context of the title.</t>
        </is>
      </c>
      <c r="F36"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6" s="246" t="str"/>
      <c r="H36" s="246" t="str"/>
      <c r="I36" s="246" t="str"/>
      <c r="J36" s="246" t="str"/>
      <c r="K36" s="246" t="str"/>
      <c r="L36" s="246" t="str"/>
      <c r="M36" s="247" t="inlineStr">
        <is>
          <t>Pass</t>
        </is>
      </c>
      <c r="N36" s="245" t="inlineStr">
        <is>
          <t>Automated run.</t>
        </is>
      </c>
    </row>
    <row r="37" ht="48" customHeight="1" s="229">
      <c r="A37" s="248" t="n">
        <v>34</v>
      </c>
      <c r="B37" s="249" t="inlineStr">
        <is>
          <t>Paraphrased</t>
        </is>
      </c>
      <c r="C37" s="248" t="inlineStr">
        <is>
          <t>Doc C</t>
        </is>
      </c>
      <c r="D37" s="250" t="inlineStr">
        <is>
          <t>How do dense vectors and sparse vectors differ in the RAG article’s explanation?</t>
        </is>
      </c>
      <c r="E37" s="245" t="inlineStr">
        <is>
          <t>According to the context (Source: Retrieval-augmented generation - Wikipedia.pdf, page 3), dense vectors and sparse vectors differ in that "Sparse vectors, which encode the identity of a word, are typically dictionary-length and contain mostly zeros. Dense vectors, which encode meaning, are more compact and contain fewer zeros." [8]</t>
        </is>
      </c>
      <c r="F37" s="245" t="inlineStr">
        <is>
          <t xml:space="preserve">[Chunk 1]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2]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3]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t>
        </is>
      </c>
      <c r="G37" s="246" t="str"/>
      <c r="H37" s="246" t="str"/>
      <c r="I37" s="246" t="str"/>
      <c r="J37" s="246" t="str"/>
      <c r="K37" s="246" t="str"/>
      <c r="L37" s="246" t="str"/>
      <c r="M37" s="247" t="inlineStr">
        <is>
          <t>Pass</t>
        </is>
      </c>
      <c r="N37" s="245" t="inlineStr">
        <is>
          <t>Automated run.</t>
        </is>
      </c>
    </row>
    <row r="38" ht="48" customHeight="1" s="229">
      <c r="A38" s="248" t="n">
        <v>35</v>
      </c>
      <c r="B38" s="249" t="inlineStr">
        <is>
          <t>Paraphrased</t>
        </is>
      </c>
      <c r="C38" s="248" t="inlineStr">
        <is>
          <t>Doc C</t>
        </is>
      </c>
      <c r="D38" s="250" t="inlineStr">
        <is>
          <t>Why might hybrid search help when vector database retrieval misses key facts?</t>
        </is>
      </c>
      <c r="E38" s="245" t="inlineStr">
        <is>
          <t>According to [Source: Retrieval-augmented generation - Wikipedia.pdf, page 5], hybrid search can help when vector database retrieval misses key facts because it combines the results of a traditional text search with the retrieved vectors from the vector search, and feeds the combined hybrid text into the language model for generation. This approach can mitigate the issue of vector database searches missing key facts needed to answer a user's question. [17]</t>
        </is>
      </c>
      <c r="F38" s="245" t="inlineStr">
        <is>
          <t xml:space="preserve">[Chunk 1]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4] Retrieval-augmented generation - Wikipedia.pdf, page 7
n.482).
17. Bruch, Sebastian; Gai, Siyu; Ingber, Amir (2023). "An Analysis of Fusion Functions for
Hybrid Retrieval". ACM Transactions on Information Systems. 42 (1): 1–35.
arXiv:2210.11934 (https://arxiv.org/abs/2210.11934). doi:10.1145/3596512 (https://doi.org/1
0.1145%2F3596512).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8" s="246" t="str"/>
      <c r="H38" s="246" t="str"/>
      <c r="I38" s="246" t="str"/>
      <c r="J38" s="246" t="str"/>
      <c r="K38" s="246" t="str"/>
      <c r="L38" s="246" t="str"/>
      <c r="M38" s="247" t="inlineStr">
        <is>
          <t>Pass</t>
        </is>
      </c>
      <c r="N38" s="245" t="inlineStr">
        <is>
          <t>Automated run.</t>
        </is>
      </c>
    </row>
    <row r="39" ht="48" customHeight="1" s="229">
      <c r="A39" s="251" t="n">
        <v>36</v>
      </c>
      <c r="B39" s="252" t="inlineStr">
        <is>
          <t>Multi-hop</t>
        </is>
      </c>
      <c r="C39" s="251" t="inlineStr">
        <is>
          <t>Doc A</t>
        </is>
      </c>
      <c r="D39" s="253" t="inlineStr">
        <is>
          <t>Connect the Transformer’s lack of recurrence with its claim about faster training and parallelization.</t>
        </is>
      </c>
      <c r="E39" s="245" t="inlineStr">
        <is>
          <t>According to [Source: 1706.03762v7.pdf, page 2], the Transformer's lack of recurrence allows for "significantly more parallelization" which enables it to "reach a new state of the art in translation quality after being trained for as little as twelve hours on eight P100 GPUs." This suggests that the Transformer's architecture, which eschews recurrence in favor of self-attention, is able to train faster and take advantage of parallelization more effectively than traditional recurrent models. Additionally, [Source: 1706.03762v7.pdf, page 1] states that the Transformer "is more parallelizable and requiring significantly less time to train" compared to other models.</t>
        </is>
      </c>
      <c r="F39"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39" s="246" t="str"/>
      <c r="H39" s="246" t="str"/>
      <c r="I39" s="246" t="str"/>
      <c r="J39" s="246" t="str"/>
      <c r="K39" s="246" t="str"/>
      <c r="L39" s="246" t="str"/>
      <c r="M39" s="247" t="inlineStr">
        <is>
          <t>Pass</t>
        </is>
      </c>
      <c r="N39" s="245" t="inlineStr">
        <is>
          <t>Automated run.</t>
        </is>
      </c>
    </row>
    <row r="40" ht="48" customHeight="1" s="229">
      <c r="A40" s="251" t="n">
        <v>37</v>
      </c>
      <c r="B40" s="252" t="inlineStr">
        <is>
          <t>Multi-hop</t>
        </is>
      </c>
      <c r="C40" s="251" t="inlineStr">
        <is>
          <t>Doc A</t>
        </is>
      </c>
      <c r="D40" s="253" t="inlineStr">
        <is>
          <t>Compare self-attention, recurrent, and convolutional layers using both sequential operations and maximum path length.</t>
        </is>
      </c>
      <c r="E40" s="245" t="inlineStr">
        <is>
          <t>According to Table 1 [Source: 1706.03762v7.pdf, page 6], the comparison of self-attention, recurrent, and convolutional layers using both sequential operations and maximum path length is as follows:
- Self-Attention: O(1) sequential operations, O(1) maximum path length
- Recurrent: O(n) sequential operations, O(n) maximum path length
- Convolutional: O(1) sequential operations, O(logk(n)) maximum path length
This indicates that self-attention layers have a constant number of sequential operations and a constant maximum path length, whereas recurrent layers have a linear number of sequential operations and a linear maximum path length. Convolutional layers have a constant number of sequential operations but a logarithmic maximum path length. [Source: 1706.03762v7.pdf, page 6, Table 1]</t>
        </is>
      </c>
      <c r="F40" s="245" t="inlineStr">
        <is>
          <t xml:space="preserve">[Chunk 1]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2]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3]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4]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[Chunk 5]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
        </is>
      </c>
      <c r="G40" s="246" t="str"/>
      <c r="H40" s="246" t="str"/>
      <c r="I40" s="246" t="str"/>
      <c r="J40" s="246" t="str"/>
      <c r="K40" s="246" t="str"/>
      <c r="L40" s="246" t="str"/>
      <c r="M40" s="247" t="inlineStr">
        <is>
          <t>Pass</t>
        </is>
      </c>
      <c r="N40" s="245" t="inlineStr">
        <is>
          <t>Automated run.</t>
        </is>
      </c>
    </row>
    <row r="41" ht="48" customHeight="1" s="229">
      <c r="A41" s="251" t="n">
        <v>38</v>
      </c>
      <c r="B41" s="252" t="inlineStr">
        <is>
          <t>Multi-hop</t>
        </is>
      </c>
      <c r="C41" s="251" t="inlineStr">
        <is>
          <t>Doc A</t>
        </is>
      </c>
      <c r="D41" s="253" t="inlineStr">
        <is>
          <t>How do residual connections, layer normalization, and fixed d_model dimensions work together in the encoder and decoder stacks?</t>
        </is>
      </c>
      <c r="E41" s="245" t="inlineStr">
        <is>
          <t>According to [Source: 1706.03762v7.pdf, page 3], the encoder and decoder stacks employ residual connections around each of the sub-layers, followed by layer normalization. The output of each sub-layer is computed as LayerNorm(x + Sublayer(x)), where Sublayer(x) is the function implemented by the sub-layer itself. To facilitate these residual connections, all sub-layers in the model, as well as the embedding layers, produce outputs of dimension dmodel = 512. 
This means that the fixed d_model dimension of 512 allows the residual connections and layer normalization to work together seamlessly, enabling the model to learn and represent complex patterns in the input data. [Source: 1706.03762v7.pdf, page 3]</t>
        </is>
      </c>
      <c r="F41"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t>
        </is>
      </c>
      <c r="G41" s="246" t="str"/>
      <c r="H41" s="246" t="str"/>
      <c r="I41" s="246" t="str"/>
      <c r="J41" s="246" t="str"/>
      <c r="K41" s="246" t="str"/>
      <c r="L41" s="246" t="str"/>
      <c r="M41" s="247" t="inlineStr">
        <is>
          <t>Pass</t>
        </is>
      </c>
      <c r="N41" s="245" t="inlineStr">
        <is>
          <t>Automated run.</t>
        </is>
      </c>
    </row>
    <row r="42" ht="48" customHeight="1" s="229">
      <c r="A42" s="251" t="n">
        <v>39</v>
      </c>
      <c r="B42" s="252" t="inlineStr">
        <is>
          <t>Multi-hop</t>
        </is>
      </c>
      <c r="C42" s="251" t="inlineStr">
        <is>
          <t>Doc A</t>
        </is>
      </c>
      <c r="D42" s="253" t="inlineStr">
        <is>
          <t>Relate the base model’s hyperparameters to the big model’s improvements in BLEU and parameter count.</t>
        </is>
      </c>
      <c r="E42" s="245" t="inlineStr">
        <is>
          <t>According to [Source: 1706.03762v7.pdf, page 8] and [Source: 1706.03762v7.pdf, page 9], the base model's hyperparameters are listed in Table 3. The base model has 6 layers (N=6), dmodel=512, dff=2048, h=8, dk=64, dv=64, Pdrop=0.1, and ϵls=0.1. 
In contrast, the big model, listed at the bottom of Table 3, has N=6, dmodel=1024, dff=4096, h=16, dk and dv are not specified but are likely 64 as in the base model, Pdrop=0.3 for English-to-German (but 0.1 for English-to-French as stated on [Source: 1706.03762v7.pdf, page 8]), and ϵls is not specified but is likely 0.1 as in the base model.
The big model achieves a BLEU score of 28.4 for English-to-German and 41.0 for English-to-French, outperforming the base model's scores of 27.3 and 38.1 respectively, as shown in Table 2 [Source: 1706.03762v7.pdf, page 8]. 
The big model has 213 million parameters, which is significantly more than the base model's 65 million parameters (as calculated from the dmodel, dff, h, dk, dv values in Table 3) [Source: 1706.03762v7.pdf, page 9]. 
Therefore, the big model's improvements in BLEU score can be attributed to its increased model size (dmodel, dff, h) and possibly the increased dropout rate for English-to-German, but not the number of layers (N), which remains the same as the base model.</t>
        </is>
      </c>
      <c r="F42"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4]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5]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t>
        </is>
      </c>
      <c r="G42" s="246" t="str"/>
      <c r="H42" s="246" t="str"/>
      <c r="I42" s="246" t="str"/>
      <c r="J42" s="246" t="str"/>
      <c r="K42" s="246" t="str"/>
      <c r="L42" s="246" t="str"/>
      <c r="M42" s="247" t="inlineStr">
        <is>
          <t>Pass</t>
        </is>
      </c>
      <c r="N42" s="245" t="inlineStr">
        <is>
          <t>Automated run.</t>
        </is>
      </c>
    </row>
    <row r="43" ht="48" customHeight="1" s="229">
      <c r="A43" s="251" t="n">
        <v>40</v>
      </c>
      <c r="B43" s="252" t="inlineStr">
        <is>
          <t>Multi-hop</t>
        </is>
      </c>
      <c r="C43" s="251" t="inlineStr">
        <is>
          <t>Doc A</t>
        </is>
      </c>
      <c r="D43" s="253" t="inlineStr">
        <is>
          <t>Why can the Transformer generalize to constituency parsing despite being designed for machine translation?</t>
        </is>
      </c>
      <c r="E43" s="245" t="inlineStr">
        <is>
          <t>I don't have enough information to answer this. 
The context provided discusses the application of the Transformer to English constituency parsing and its performance, but it does not explicitly explain why the Transformer can generalize to this task despite being designed for machine translation. [Source: 1706.03762v7.pdf, pages 1, 9, 10]</t>
        </is>
      </c>
      <c r="F43" s="245" t="inlineStr">
        <is>
          <t xml:space="preserve">[Chunk 1]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43" s="246" t="str"/>
      <c r="H43" s="246" t="str"/>
      <c r="I43" s="246" t="str"/>
      <c r="J43" s="246" t="str"/>
      <c r="K43" s="246" t="str"/>
      <c r="L43" s="246" t="str"/>
      <c r="M43" s="247" t="inlineStr">
        <is>
          <t>Fail</t>
        </is>
      </c>
      <c r="N43" s="245" t="inlineStr">
        <is>
          <t>Automated run: answer said insufficient information.</t>
        </is>
      </c>
    </row>
    <row r="44" ht="48" customHeight="1" s="229">
      <c r="A44" s="251" t="n">
        <v>41</v>
      </c>
      <c r="B44" s="252" t="inlineStr">
        <is>
          <t>Multi-hop</t>
        </is>
      </c>
      <c r="C44" s="251" t="inlineStr">
        <is>
          <t>Doc B</t>
        </is>
      </c>
      <c r="D44" s="253" t="inlineStr">
        <is>
          <t>Connect the RAGAS definitions of faithfulness and context relevance to the goal of reducing hallucinations in RAG systems.</t>
        </is>
      </c>
      <c r="E44" s="245" t="inlineStr">
        <is>
          <t>According to the context provided in [Source: 2309.15217v2.pdf, page 3], faithfulness refers to the idea that the answer should be grounded in the given context, which is important to avoid hallucinations. Additionally, context relevance refers to the idea that the retrieved context should be focused, containing as little irrelevant information as possible. 
Connecting these definitions to the goal of reducing hallucinations in RAG systems, we can see that faithfulness helps to ensure that the generated answer is based on the provided context, rather than introducing new, unverified information (hallucinations). Similarly, context relevance helps to prevent hallucinations by ensuring that the retrieved context is relevant and focused, reducing the likelihood of the LLM introducing irrelevant or unverified information into the generated answer. 
As stated in [Source: 2309.15217v2.pdf, page 1], RAG systems provide LLMs with knowledge from a reference textual database, which enables them to act as a natural language layer between a user and textual databases, reducing the risk of hallucinations. 
Therefore, the definitions of faithfulness and context relevance in RAGAS are connected to the goal of reducing hallucinations in RAG systems by ensuring that the generated answers are grounded in the provided context and that the retrieved context is relevant and focused. (Source: 2309.15217v2.pdf, pages 1 and 3)</t>
        </is>
      </c>
      <c r="F44"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t>
        </is>
      </c>
      <c r="G44" s="246" t="str"/>
      <c r="H44" s="246" t="str"/>
      <c r="I44" s="246" t="str"/>
      <c r="J44" s="246" t="str"/>
      <c r="K44" s="246" t="str"/>
      <c r="L44" s="246" t="str"/>
      <c r="M44" s="247" t="inlineStr">
        <is>
          <t>Pass</t>
        </is>
      </c>
      <c r="N44" s="245" t="inlineStr">
        <is>
          <t>Automated run.</t>
        </is>
      </c>
    </row>
    <row r="45" ht="48" customHeight="1" s="229">
      <c r="A45" s="251" t="n">
        <v>42</v>
      </c>
      <c r="B45" s="252" t="inlineStr">
        <is>
          <t>Multi-hop</t>
        </is>
      </c>
      <c r="C45" s="251" t="inlineStr">
        <is>
          <t>Doc B</t>
        </is>
      </c>
      <c r="D45" s="253" t="inlineStr">
        <is>
          <t>How does the RAGAS faithfulness metric combine statement extraction and statement verification?</t>
        </is>
      </c>
      <c r="E45" s="245" t="inlineStr">
        <is>
          <t>According to [Source: 2309.15217v2.pdf, page 3], the RAGAS faithfulness metric combines statement extraction and statement verification as follows: 
First, the model creates one or more statements from each sentence in the given answer using a prompt. Then, for each statement, the LLM determines if the statement can be inferred from the context using a verification function. The verification step is carried out using a prompt that asks the LLM to consider the given context and statements, and then determine whether they are supported by the information present in the context. 
The final faithfulness score, F, is then computed as F = |V| / |S|, where |V| is the number of statements that were supported according to the LLM and |S| is the total number of statements. [Source: 2309.15217v2.pdf, page 3]</t>
        </is>
      </c>
      <c r="F45"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5" s="246" t="str"/>
      <c r="H45" s="246" t="str"/>
      <c r="I45" s="246" t="str"/>
      <c r="J45" s="246" t="str"/>
      <c r="K45" s="246" t="str"/>
      <c r="L45" s="246" t="str"/>
      <c r="M45" s="247" t="inlineStr">
        <is>
          <t>Pass</t>
        </is>
      </c>
      <c r="N45" s="245" t="inlineStr">
        <is>
          <t>Automated run.</t>
        </is>
      </c>
    </row>
    <row r="46" ht="48" customHeight="1" s="229">
      <c r="A46" s="251" t="n">
        <v>43</v>
      </c>
      <c r="B46" s="252" t="inlineStr">
        <is>
          <t>Multi-hop</t>
        </is>
      </c>
      <c r="C46" s="251" t="inlineStr">
        <is>
          <t>Doc B</t>
        </is>
      </c>
      <c r="D46" s="253" t="inlineStr">
        <is>
          <t>Compare RAGAS, GPT Score, and GPT Ranking based on their agreement with human annotators.</t>
        </is>
      </c>
      <c r="E46" s="245" t="inlineStr">
        <is>
          <t>According to Table 1 on page 5 of the document [Source: 2309.15217v2.pdf], the agreement with human annotators for each method is as follows:
- RAGAS (Ragas): 0.95 for faithfulness, 0.78 for answer relevance, and 0.70 for context relevance.
- GPT Score: 0.72 for faithfulness, 0.52 for answer relevance, and 0.63 for context relevance.
- GPT Ranking: 0.54 for faithfulness, 0.40 for answer relevance, and 0.52 for context relevance.
Overall, RAGAS shows the highest agreement with human annotators, followed by GPT Score, and then GPT Ranking [Source: 2309.15217v2.pdf, page 5].</t>
        </is>
      </c>
      <c r="F46"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5] 2309.15217v2.pdf, page 2
the hidden layers of the LLM, to predict whether a
given statement is true or not. While the approach
performs well, the need to access the hidden states
of the model makes it unsuitable for systems that
access LLMs through an API.
For models that do not provide access to token
probabilities, such as ChatGPT and GPT-4, differ-
ent methods are needed. SelfCheckGPT (Manakul
et al., 2023) addresses this problem by instead sam-
pling multiple answers. Their core idea is that
factual answers are more stable: when an answer is
factual, we can expect that different samples will
tend to be semantically similar, whereas this is less
likely to be the case for hallucinated answers.
Automated evaluation of text generation systems
LLMs have also been leveraged to automatically
evaluate other aspects of generated text fragments,
beyond factuality. For instance, GPTScore (Fu
et al., 2023) uses a prompt that specifies the consid-
ered aspect (e.g. fluency) and then scores passages
based on the average probability of the generated
tokens, according to a given autoregressive LM.
This idea of using prompts was previously also
considered by Yuan et al. (2021), although they
</t>
        </is>
      </c>
      <c r="G46" s="246" t="str"/>
      <c r="H46" s="246" t="str"/>
      <c r="I46" s="246" t="str"/>
      <c r="J46" s="246" t="str"/>
      <c r="K46" s="246" t="str"/>
      <c r="L46" s="246" t="str"/>
      <c r="M46" s="247" t="inlineStr">
        <is>
          <t>Pass</t>
        </is>
      </c>
      <c r="N46" s="245" t="inlineStr">
        <is>
          <t>Automated run.</t>
        </is>
      </c>
    </row>
    <row r="47" ht="48" customHeight="1" s="229">
      <c r="A47" s="251" t="n">
        <v>44</v>
      </c>
      <c r="B47" s="252" t="inlineStr">
        <is>
          <t>Multi-hop</t>
        </is>
      </c>
      <c r="C47" s="251" t="inlineStr">
        <is>
          <t>Doc B</t>
        </is>
      </c>
      <c r="D47" s="253" t="inlineStr">
        <is>
          <t>Why is answer relevance harder to evaluate than faithfulness according to the paper’s experiment discussion?</t>
        </is>
      </c>
      <c r="E47" s="245" t="inlineStr">
        <is>
          <t>According to the paper (Source: 2309.15217v2.pdf, page 5), answer relevance is harder to evaluate than faithfulness because "the differences between the two candidate answers are often very subtle." This is stated in the discussion of the experiment results, where it is noted that the agreement between annotators for answer relevance is lower (around 90%) compared to faithfulness (around 95%). [Source: 2309.15217v2.pdf, page 5]</t>
        </is>
      </c>
      <c r="F47" s="245" t="inlineStr">
        <is>
          <t xml:space="preserve">[Chunk 1]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4
5That is, beyond the reported training cutoff of the model
we used in our experiments.
links.
4. The question should be of moderate
difficulty.
5. The question must be reasonable and
must be understood and responded to by
humans.
6. Do not use phrases that ’provided con-
text’, etc in the question
context:
We also used ChatGPT to answer the generated
question, when given the corresponding introduc-
tory section as context, using the following prompt:
Answer the question using the informa-
tion from the given context.
question: [question]
context: [context]
All questions were annotated along the three con-
sidered quality dimensions by two annotators. Both
annotators were fluent in English and were given
clear instructions about the meaning of the three
considered quality dimensions. For faithfulness
and context relevance, the two annotators agreed in
around 95% of cases. For answer relevance, they
agreed in around 90% of the cases. Disagreements
were resolved after a discussion between the anno-
tators.
Faithfulness
To obtain human judgements about
faithfulness, we first used ChatGPT to answer the
question without access to any additional context.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7" s="246" t="str"/>
      <c r="H47" s="246" t="str"/>
      <c r="I47" s="246" t="str"/>
      <c r="J47" s="246" t="str"/>
      <c r="K47" s="246" t="str"/>
      <c r="L47" s="246" t="str"/>
      <c r="M47" s="247" t="inlineStr">
        <is>
          <t>Pass</t>
        </is>
      </c>
      <c r="N47" s="245" t="inlineStr">
        <is>
          <t>Automated run.</t>
        </is>
      </c>
    </row>
    <row r="48" ht="48" customHeight="1" s="229">
      <c r="A48" s="251" t="n">
        <v>45</v>
      </c>
      <c r="B48" s="252" t="inlineStr">
        <is>
          <t>Multi-hop</t>
        </is>
      </c>
      <c r="C48" s="251" t="inlineStr">
        <is>
          <t>Doc B</t>
        </is>
      </c>
      <c r="D48" s="253" t="inlineStr">
        <is>
          <t>Explain how WikiEval was constructed and how it was used to compare evaluation methods.</t>
        </is>
      </c>
      <c r="E48" s="245" t="inlineStr">
        <is>
          <t>WikiEval was constructed by first using ChatGPT to answer questions without access to any additional context, and then asking human annotators to judge the faithfulness, answer relevance, and context relevance of the answers (Source: 2309.15217v2.pdf, page 4). The dataset was used to compare the evaluation methods by counting how often the answer/context preferred by the model coincides with the answer/context preferred by the human annotators (Source: 2309.15217v2.pdf, page 5). The results were reported in terms of accuracy, which is the fraction of instances on which the model agrees with the annotators (Source: 2309.15217v2.pdf, page 5). 
The WikiEval dataset was also used to evaluate the performance of Ragas, a proposed metric, and two baseline methods, GPT Score and GPT Ranking (Source: 2309.15217v2.pdf, page 5). The results showed that the predictions from Ragas are closely aligned with human predictions, especially for faithfulness and answer relevance (Source: 2309.15217v2.pdf, page 5). 
Examples from the WikiEval dataset are shown in Tables 2, 3, and 4, which focus on answers with high and low faithfulness, answer relevance, and context relevance (Source: 2309.15217v2.pdf, page 7).</t>
        </is>
      </c>
      <c r="F48"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2
ered aspect (e.g. fluency) and then scores passages
based on the average probability of the generated
tokens, according to a given autoregressive LM.
This idea of using prompts was previously also
considered by Yuan et al. (2021), although they
used a smaller fine-tuned LM (i.e. BART) and did
not observe a clear benefit from using prompts. An-
other approach directly asks ChatGPT to evaluate
a particular aspect of the given answer by provid-
ing a score between 0 and 100, or by providing a
rating on a 5-star scale (Wang et al., 2023a). Re-
markably, strong results can be obtained in this
way, although it comes with the limitation of being
sensitive to the design of the prompt. Rather than
scoring individual answers, some authors have also
focused on using an LLM to select the best answer
among a number of candidates (Wang et al., 2023b),
typically to compare the performance of different
LLMs. However, care is needed with this approach,
as the order in which the answers is presented can
influence the result (Wang et al., 2023b).
In terms of how ground truth answers or, more
generally, generations, have been typically used
in the literature, most approaches have relied on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48" s="246" t="str"/>
      <c r="H48" s="246" t="str"/>
      <c r="I48" s="246" t="str"/>
      <c r="J48" s="246" t="str"/>
      <c r="K48" s="246" t="str"/>
      <c r="L48" s="246" t="str"/>
      <c r="M48" s="247" t="inlineStr">
        <is>
          <t>Pass</t>
        </is>
      </c>
      <c r="N48" s="245" t="inlineStr">
        <is>
          <t>Automated run.</t>
        </is>
      </c>
    </row>
    <row r="49" ht="48" customHeight="1" s="229">
      <c r="A49" s="251" t="n">
        <v>46</v>
      </c>
      <c r="B49" s="252" t="inlineStr">
        <is>
          <t>Multi-hop</t>
        </is>
      </c>
      <c r="C49" s="251" t="inlineStr">
        <is>
          <t>Doc C</t>
        </is>
      </c>
      <c r="D49" s="253" t="inlineStr">
        <is>
          <t>Connect RAG’s retrieval process, vector databases, and prompt augmentation into one end-to-end workflow.</t>
        </is>
      </c>
      <c r="E49" s="245" t="inlineStr">
        <is>
          <t>According to the context (Source: Retrieval-augmented generation - Wikipedia.pdf, pages 1-3), the end-to-end workflow of RAG's retrieval process, vector databases, and prompt augmentation can be connected as follows: 
1. The data to be referenced is converted into LLM embeddings, numerical representations in the form of a large vector space, and stored in a vector database (page 2).
2. Given a user query, a document retriever is first called to select the most relevant documents that will be used to augment the query (page 2).
3. The model feeds this relevant retrieved information into the LLM via prompt engineering of the user's original query (page 2).
4. The LLM can then generate output based on both the query and the retrieved documents (page 2).
5. The process can be improved by optimizing how vector similarities are calculated in the vector stores (databases), such as using dot products and approximate nearest neighbor (ANN) searches (page 3).
Therefore, the end-to-end workflow of RAG connects the retrieval process, vector databases, and prompt augmentation by first retrieving relevant documents, converting them into vector embeddings, storing them in a vector database, and then using these embeddings to augment the user's query and generate output (Source: Retrieval-augmented generation - Wikipedia.pdf, pages 1-3).</t>
        </is>
      </c>
      <c r="F49"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2
on the type of indexing used.[1]
The model feeds this relevant retrieved information into
the LLM via prompt engineering of the user's original
query. Newer implementations (as of 2023) can also incorporate specific augmentation modules
with abilities such as expanding queries into multiple domains and using memory and self-
improvement to learn from previous retrievals.
Finally, the LLM can generate output based on both the query and the retrieved documents.[2]
[3] Some models incorporate extra steps to improve output, such as the re-ranking of retrieved
information, context selection, and fine-tuning.
Process
RAG key stages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49" s="246" t="str"/>
      <c r="H49" s="246" t="str"/>
      <c r="I49" s="246" t="str"/>
      <c r="J49" s="246" t="str"/>
      <c r="K49" s="246" t="str"/>
      <c r="L49" s="246" t="str"/>
      <c r="M49" s="247" t="inlineStr">
        <is>
          <t>Pass</t>
        </is>
      </c>
      <c r="N49" s="245" t="inlineStr">
        <is>
          <t>Automated run.</t>
        </is>
      </c>
    </row>
    <row r="50" ht="48" customHeight="1" s="229">
      <c r="A50" s="251" t="n">
        <v>47</v>
      </c>
      <c r="B50" s="252" t="inlineStr">
        <is>
          <t>Multi-hop</t>
        </is>
      </c>
      <c r="C50" s="251" t="inlineStr">
        <is>
          <t>Doc C</t>
        </is>
      </c>
      <c r="D50" s="253" t="inlineStr">
        <is>
          <t>How do chunking, reranking, and hybrid search address different failure points in RAG retrieval?</t>
        </is>
      </c>
      <c r="E50" s="245" t="inlineStr">
        <is>
          <t>According to the context, chunking, reranking, and hybrid search address different failure points in RAG retrieval in the following ways: 
Chunking involves breaking up the data into vectors so the retriever can find details in it (Source: Retrieval-augmented generation - Wikipedia.pdf, page 4). 
Reranking techniques can refine retriever performance by prioritizing the most relevant retrieved documents during training (Source: Retrieval-augmented generation - Wikipedia.pdf, page 4). 
Hybrid search combines traditional text search results with the retrieved vectors from the vector search and feeds the combined hybrid text into the language model for generation, which can help mitigate some limitations of RAG (Source: Retrieval-augmented generation - Wikipedia.pdf, page 5).
However, the context does not provide a detailed explanation of how these methods specifically address different failure points in RAG retrieval. Therefore, I don't have enough information to provide a more detailed answer.</t>
        </is>
      </c>
      <c r="F5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50" s="246" t="str"/>
      <c r="H50" s="246" t="str"/>
      <c r="I50" s="246" t="str"/>
      <c r="J50" s="246" t="str"/>
      <c r="K50" s="246" t="str"/>
      <c r="L50" s="246" t="str"/>
      <c r="M50" s="247" t="inlineStr">
        <is>
          <t>Fail</t>
        </is>
      </c>
      <c r="N50" s="245" t="inlineStr">
        <is>
          <t>Automated run: answer said insufficient information.</t>
        </is>
      </c>
    </row>
    <row r="51" ht="48" customHeight="1" s="229">
      <c r="A51" s="251" t="n">
        <v>48</v>
      </c>
      <c r="B51" s="252" t="inlineStr">
        <is>
          <t>Multi-hop</t>
        </is>
      </c>
      <c r="C51" s="251" t="inlineStr">
        <is>
          <t>Doc C</t>
        </is>
      </c>
      <c r="D51" s="253" t="inlineStr">
        <is>
          <t>Why can RAG both reduce hallucinations and still fail when the retrieved context is misleading or misinterpreted?</t>
        </is>
      </c>
      <c r="E51" s="245" t="inlineStr">
        <is>
          <t>According to [Source: Retrieval-augmented generation - Wikipedia.pdf, page 5], RAG can reduce hallucinations by combining traditional text search results with retrieved vectors from the vector search and feeding the combined hybrid text into the language model for generation. However, as stated in [Source: Retrieval-augmented generation - Wikipedia.pdf, page 6], RAG systems may retrieve factually correct but misleading sources, leading to errors in interpretation, and LLMs may struggle to recognize when they lack sufficient information to provide a reliable response. Additionally, [Source: Retrieval-augmented generation - Wikipedia.pdf, page 5] notes that "RAG does not prevent hallucinations in LLMs" and [Source: 2309.15217v2.pdf, page 2] mentions that detecting hallucinations in LLM generated responses is a challenging problem. 
Therefore, RAG can both reduce hallucinations and still fail when the retrieved context is misleading or misinterpreted because while it improves the accuracy of LLMs, it does not eliminate all challenges, such as misinterpreting the data they retrieve, as mentioned in [Source: Retrieval-augmented generation - Wikipedia.pdf, page 6] and [2].</t>
        </is>
      </c>
      <c r="F51"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51" s="246" t="str"/>
      <c r="H51" s="246" t="str"/>
      <c r="I51" s="246" t="str"/>
      <c r="J51" s="246" t="str"/>
      <c r="K51" s="246" t="str"/>
      <c r="L51" s="246" t="str"/>
      <c r="M51" s="247" t="inlineStr">
        <is>
          <t>Pass</t>
        </is>
      </c>
      <c r="N51" s="245" t="inlineStr">
        <is>
          <t>Automated run.</t>
        </is>
      </c>
    </row>
    <row r="52" ht="48" customHeight="1" s="229">
      <c r="A52" s="251" t="n">
        <v>49</v>
      </c>
      <c r="B52" s="252" t="inlineStr">
        <is>
          <t>Multi-hop</t>
        </is>
      </c>
      <c r="C52" s="251" t="inlineStr">
        <is>
          <t>Doc C</t>
        </is>
      </c>
      <c r="D52" s="253" t="inlineStr">
        <is>
          <t>Compare the cost-saving benefit of RAG with the limitation that it does not eliminate retraining entirely.</t>
        </is>
      </c>
      <c r="E52" s="245" t="inlineStr">
        <is>
          <t>According to [Source: Retrieval-augmented generation - Wikipedia.pdf, page 5], RAG reduces the need for frequent model retraining, which results in cost savings. However, it does not remove the need for retraining entirely. This is a limitation of RAG, as stated in the same source. 
On the other hand, [Source: Retrieval-augmented generation - Wikipedia.pdf, page 1] mentions that RAG also reduces the need to retrain LLMs with new data, saving on computational and financial costs. 
In comparison, while RAG provides a cost-saving benefit by reducing the need for retraining, its limitation is that it does not eliminate the need for retraining entirely, as mentioned in [Source: Retrieval-augmented generation - Wikipedia.pdf, page 5].</t>
        </is>
      </c>
      <c r="F52"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52" s="246" t="str"/>
      <c r="H52" s="246" t="str"/>
      <c r="I52" s="246" t="str"/>
      <c r="J52" s="246" t="str"/>
      <c r="K52" s="246" t="str"/>
      <c r="L52" s="246" t="str"/>
      <c r="M52" s="247" t="inlineStr">
        <is>
          <t>Pass</t>
        </is>
      </c>
      <c r="N52" s="245" t="inlineStr">
        <is>
          <t>Automated run.</t>
        </is>
      </c>
    </row>
    <row r="53" ht="48" customHeight="1" s="229">
      <c r="A53" s="251" t="n">
        <v>50</v>
      </c>
      <c r="B53" s="252" t="inlineStr">
        <is>
          <t>Multi-hop</t>
        </is>
      </c>
      <c r="C53" s="251" t="inlineStr">
        <is>
          <t>Doc C</t>
        </is>
      </c>
      <c r="D53" s="253" t="inlineStr">
        <is>
          <t>How could conflicting information from multiple retrieved sources lead to a misleading final RAG answer?</t>
        </is>
      </c>
      <c r="E53" s="245" t="inlineStr">
        <is>
          <t>According to the context provided in [Source: Retrieval-augmented generation - Wikipedia.pdf, page 6], conflicting information from multiple retrieved sources can lead to a misleading final RAG answer because the model may combine details from multiple sources, producing responses that merge outdated and updated information in a misleading manner. This can occur when RAG systems misinterpret the data they retrieve, as stated by the MIT Technology Review [2].</t>
        </is>
      </c>
      <c r="F5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2
as the order in which the answers is presented can
influence the result (Wang et al., 2023b).
In terms of how ground truth answers or, more
generally, generations, have been typically used
in the literature, most approaches have relied on
the availability of one or more reference answers.
For instance, BERTScore (Zhang et al., 2020)
and MoverScore (Zhao et al., 2019) use contex-
tualised embeddings, produced by a pre-trained
BERT model, to compare the similarity between
the generated answer and the reference answers.
BARTScore (Yuan et al., 2021) similarly uses refer-
ence answers to compute aspects such as precision
(estimated as the probability of generating the gen-
erated answer given the reference) and recall (esti-
mated as the probability of generating the reference
given the generated answer).
3
Evaluation Strategies
We consider a standard RAG setting, where given a
question q, the system first retrieves some context
c(q) and then uses the retrieved context to generate
an answer as(q). When building a RAG system,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53" s="246" t="str"/>
      <c r="H53" s="246" t="str"/>
      <c r="I53" s="246" t="str"/>
      <c r="J53" s="246" t="str"/>
      <c r="K53" s="246" t="str"/>
      <c r="L53" s="246" t="str"/>
      <c r="M53" s="247" t="inlineStr">
        <is>
          <t>Pass</t>
        </is>
      </c>
      <c r="N53" s="245" t="inlineStr">
        <is>
          <t>Automated run.</t>
        </is>
      </c>
    </row>
    <row r="54">
      <c r="A54" s="254" t="str"/>
      <c r="B54" s="254" t="str"/>
      <c r="C54" s="254" t="str"/>
      <c r="D54" s="254" t="str"/>
      <c r="E54" s="254" t="str"/>
      <c r="F54" s="254" t="str"/>
      <c r="G54" s="254" t="str"/>
      <c r="H54" s="254" t="str"/>
      <c r="I54" s="254" t="str"/>
      <c r="J54" s="254" t="str"/>
      <c r="K54" s="254" t="str"/>
      <c r="L54" s="254" t="str"/>
      <c r="M54" s="254" t="str"/>
      <c r="N54" s="254" t="str"/>
    </row>
    <row r="55">
      <c r="A55" s="254" t="str"/>
      <c r="B55" s="254" t="str"/>
      <c r="C55" s="254" t="str"/>
      <c r="D55" s="254" t="str"/>
      <c r="E55" s="254" t="str"/>
      <c r="F55" s="254" t="str"/>
      <c r="G55" s="254" t="str"/>
      <c r="H55" s="254" t="str"/>
      <c r="I55" s="254" t="str"/>
      <c r="J55" s="254" t="str"/>
      <c r="K55" s="254" t="str"/>
      <c r="L55" s="254" t="str"/>
      <c r="M55" s="254" t="str"/>
      <c r="N55" s="254" t="str"/>
    </row>
    <row r="56" ht="19.5" customHeight="1" s="229">
      <c r="A56" s="255" t="str"/>
      <c r="B56" s="237" t="n"/>
      <c r="C56" s="237" t="n"/>
      <c r="D56" s="237" t="n"/>
      <c r="E56" s="237" t="n"/>
      <c r="F56" s="237" t="n"/>
      <c r="G56" s="237" t="n"/>
      <c r="H56" s="237" t="n"/>
      <c r="I56" s="237" t="n"/>
      <c r="J56" s="237" t="n"/>
      <c r="K56" s="237" t="n"/>
      <c r="L56" s="237" t="n"/>
      <c r="M56" s="237" t="n"/>
      <c r="N56" s="238" t="n"/>
    </row>
    <row r="57" ht="18" customHeight="1" s="229">
      <c r="A57" s="256" t="str"/>
      <c r="B57" s="237" t="n"/>
      <c r="C57" s="237" t="n"/>
      <c r="D57" s="237" t="n"/>
      <c r="E57" s="237" t="n"/>
      <c r="F57" s="237" t="n"/>
      <c r="G57" s="237" t="n"/>
      <c r="H57" s="237" t="n"/>
      <c r="I57" s="237" t="n"/>
      <c r="J57" s="237" t="n"/>
      <c r="K57" s="237" t="n"/>
      <c r="L57" s="237" t="n"/>
      <c r="M57" s="237" t="n"/>
      <c r="N57" s="238" t="n"/>
    </row>
    <row r="58" ht="18" customHeight="1" s="229">
      <c r="A58" s="257" t="str"/>
      <c r="B58" s="237" t="n"/>
      <c r="C58" s="237" t="n"/>
      <c r="D58" s="237" t="n"/>
      <c r="E58" s="237" t="n"/>
      <c r="F58" s="237" t="n"/>
      <c r="G58" s="237" t="n"/>
      <c r="H58" s="237" t="n"/>
      <c r="I58" s="237" t="n"/>
      <c r="J58" s="237" t="n"/>
      <c r="K58" s="237" t="n"/>
      <c r="L58" s="237" t="n"/>
      <c r="M58" s="237" t="n"/>
      <c r="N58" s="238" t="n"/>
    </row>
    <row r="59" ht="18" customHeight="1" s="229">
      <c r="A59" s="258" t="str"/>
      <c r="B59" s="237" t="n"/>
      <c r="C59" s="237" t="n"/>
      <c r="D59" s="237" t="n"/>
      <c r="E59" s="237" t="n"/>
      <c r="F59" s="237" t="n"/>
      <c r="G59" s="237" t="n"/>
      <c r="H59" s="237" t="n"/>
      <c r="I59" s="237" t="n"/>
      <c r="J59" s="237" t="n"/>
      <c r="K59" s="237" t="n"/>
      <c r="L59" s="237" t="n"/>
      <c r="M59" s="237" t="n"/>
      <c r="N59" s="238" t="n"/>
    </row>
    <row r="60">
      <c r="A60" s="254" t="str"/>
      <c r="B60" s="254" t="str"/>
      <c r="C60" s="254" t="str"/>
      <c r="D60" s="254" t="str"/>
      <c r="E60" s="254" t="str"/>
      <c r="F60" s="254" t="str"/>
      <c r="G60" s="254" t="str"/>
      <c r="H60" s="254" t="str"/>
      <c r="I60" s="254" t="str"/>
      <c r="J60" s="254" t="str"/>
      <c r="K60" s="254" t="str"/>
      <c r="L60" s="254" t="str"/>
      <c r="M60" s="254" t="str"/>
      <c r="N60" s="254" t="str"/>
    </row>
  </sheetData>
  <mergeCells count="8">
    <mergeCell ref="A56:N56"/>
    <mergeCell ref="G2:H2"/>
    <mergeCell ref="K2:L2"/>
    <mergeCell ref="I2:J2"/>
    <mergeCell ref="A59:N59"/>
    <mergeCell ref="A57:N57"/>
    <mergeCell ref="A58:N58"/>
    <mergeCell ref="A1:N1"/>
  </mergeCells>
  <conditionalFormatting sqref="G4:L53">
    <cfRule type="colorScale" priority="1">
      <colorScale>
        <cfvo type="min"/>
        <cfvo type="percentile" val="50"/>
        <cfvo type="max"/>
        <color rgb="00FEE2E2"/>
        <color rgb="00FEF3C7"/>
        <color rgb="00DCFCE7"/>
      </colorScale>
    </cfRule>
  </conditionalFormatting>
  <conditionalFormatting sqref="M4:M53">
    <cfRule type="expression" priority="2" dxfId="0">
      <formula>M4="Fail"</formula>
    </cfRule>
    <cfRule type="expression" priority="3" dxfId="1">
      <formula>M4="Pass"</formula>
    </cfRule>
  </conditionalFormatting>
  <dataValidations count="2">
    <dataValidation sqref="M4:M53" showDropDown="0" showInputMessage="0" showErrorMessage="0" allowBlank="0" type="list">
      <formula1>"Pass,Fail,Partial,Not Run"</formula1>
    </dataValidation>
    <dataValidation sqref="N4:N53" showDropDown="0" showInputMessage="0" showErrorMessage="0" allowBlank="0" type="list">
      <formula1>",Retrieval miss,Too vague,Answer ignored context,Paraphrase mismatch,Multi-hop divergence,Context drift,Hallucination missed,No answer,Other"</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ColWidth="8.6796875" defaultRowHeight="15" outlineLevelCol="0"/>
  <cols>
    <col width="28" customWidth="1" style="229" min="1" max="1"/>
    <col width="18" customWidth="1" style="229" min="2" max="2"/>
    <col width="18" customWidth="1" style="229" min="3" max="3"/>
    <col width="18" customWidth="1" style="229" min="4" max="4"/>
    <col width="18" customWidth="1" style="229" min="5" max="5"/>
    <col width="42" customWidth="1" style="229" min="6" max="6"/>
    <col width="12" customWidth="1" style="229" min="7" max="7"/>
    <col width="12" customWidth="1" style="229" min="8" max="8"/>
  </cols>
  <sheetData>
    <row r="1" ht="30" customHeight="1" s="229">
      <c r="A1" s="236" t="inlineStr">
        <is>
          <t>Analysis - Auto-Calculated Results</t>
        </is>
      </c>
      <c r="B1" s="237" t="n"/>
      <c r="C1" s="237" t="n"/>
      <c r="D1" s="237" t="n"/>
      <c r="E1" s="237" t="n"/>
      <c r="F1" s="237" t="n"/>
      <c r="G1" s="237" t="n"/>
      <c r="H1" s="238" t="n"/>
    </row>
    <row r="2">
      <c r="A2" s="254" t="str"/>
      <c r="B2" s="254" t="str"/>
      <c r="C2" s="254" t="str"/>
      <c r="D2" s="254" t="str"/>
      <c r="E2" s="254" t="str"/>
      <c r="F2" s="254" t="str"/>
      <c r="G2" s="254" t="str"/>
      <c r="H2" s="254" t="str"/>
    </row>
    <row r="3" ht="24" customHeight="1" s="229">
      <c r="A3" s="259" t="inlineStr">
        <is>
          <t>TABLE II - Mean Faithfulness Score by Query Type</t>
        </is>
      </c>
      <c r="B3" s="237" t="n"/>
      <c r="C3" s="237" t="n"/>
      <c r="D3" s="237" t="n"/>
      <c r="E3" s="238" t="n"/>
      <c r="F3" s="254" t="str"/>
      <c r="G3" s="254" t="str"/>
      <c r="H3" s="254" t="str"/>
    </row>
    <row r="4" ht="15" customHeight="1" s="229">
      <c r="A4" s="241" t="inlineStr">
        <is>
          <t>Query Type</t>
        </is>
      </c>
      <c r="B4" s="241" t="inlineStr">
        <is>
          <t>Cosine Sim (A)</t>
        </is>
      </c>
      <c r="C4" s="241" t="inlineStr">
        <is>
          <t>RAGAS (B)</t>
        </is>
      </c>
      <c r="D4" s="241" t="inlineStr">
        <is>
          <t>LLM-Judge (C)</t>
        </is>
      </c>
      <c r="E4" s="241" t="inlineStr">
        <is>
          <t>A vs C Delta</t>
        </is>
      </c>
      <c r="F4" s="254" t="str"/>
      <c r="G4" s="254" t="str"/>
      <c r="H4" s="254" t="str"/>
    </row>
    <row r="5" ht="19.5" customHeight="1" s="229">
      <c r="A5" s="260" t="inlineStr">
        <is>
          <t>Factual (Q1-Q20)</t>
        </is>
      </c>
      <c r="B5" s="261">
        <f>IFERROR(AVERAGEIFS('Query Log'!$G$4:$G$53,'Query Log'!$B$4:$B$53,"Factual"),"")</f>
        <v/>
      </c>
      <c r="C5" s="261">
        <f>IFERROR(AVERAGEIFS('Query Log'!$I$4:$I$53,'Query Log'!$B$4:$B$53,"Factual"),"")</f>
        <v/>
      </c>
      <c r="D5" s="261">
        <f>IFERROR(AVERAGEIFS('Query Log'!$K$4:$K$53,'Query Log'!$B$4:$B$53,"Factual"),"")</f>
        <v/>
      </c>
      <c r="E5" s="261">
        <f>IF(OR(B5="",D5=""),"",B5-D5)</f>
        <v/>
      </c>
      <c r="F5" s="254" t="str"/>
      <c r="G5" s="254" t="str"/>
      <c r="H5" s="254" t="str"/>
    </row>
    <row r="6" ht="19.5" customHeight="1" s="229">
      <c r="A6" s="262" t="inlineStr">
        <is>
          <t>Paraphrased (Q21-Q35)</t>
        </is>
      </c>
      <c r="B6" s="263">
        <f>IFERROR(AVERAGEIFS('Query Log'!$G$4:$G$53,'Query Log'!$B$4:$B$53,"Paraphrased"),"")</f>
        <v/>
      </c>
      <c r="C6" s="263">
        <f>IFERROR(AVERAGEIFS('Query Log'!$I$4:$I$53,'Query Log'!$B$4:$B$53,"Paraphrased"),"")</f>
        <v/>
      </c>
      <c r="D6" s="263">
        <f>IFERROR(AVERAGEIFS('Query Log'!$K$4:$K$53,'Query Log'!$B$4:$B$53,"Paraphrased"),"")</f>
        <v/>
      </c>
      <c r="E6" s="263">
        <f>IF(OR(B6="",D6=""),"",B6-D6)</f>
        <v/>
      </c>
      <c r="F6" s="254" t="str"/>
      <c r="G6" s="254" t="str"/>
      <c r="H6" s="254" t="str"/>
    </row>
    <row r="7" ht="19.5" customHeight="1" s="229">
      <c r="A7" s="260" t="inlineStr">
        <is>
          <t>Multi-hop (Q36-Q50)</t>
        </is>
      </c>
      <c r="B7" s="261">
        <f>IFERROR(AVERAGEIFS('Query Log'!$G$4:$G$53,'Query Log'!$B$4:$B$53,"Multi-hop"),"")</f>
        <v/>
      </c>
      <c r="C7" s="261">
        <f>IFERROR(AVERAGEIFS('Query Log'!$I$4:$I$53,'Query Log'!$B$4:$B$53,"Multi-hop"),"")</f>
        <v/>
      </c>
      <c r="D7" s="261">
        <f>IFERROR(AVERAGEIFS('Query Log'!$K$4:$K$53,'Query Log'!$B$4:$B$53,"Multi-hop"),"")</f>
        <v/>
      </c>
      <c r="E7" s="261">
        <f>IF(OR(B7="",D7=""),"",B7-D7)</f>
        <v/>
      </c>
      <c r="F7" s="254" t="str"/>
      <c r="G7" s="254" t="str"/>
      <c r="H7" s="254" t="str"/>
    </row>
    <row r="8" ht="19.5" customHeight="1" s="229">
      <c r="A8" s="262" t="inlineStr">
        <is>
          <t>All queries (Q1-Q50)</t>
        </is>
      </c>
      <c r="B8" s="263">
        <f>IFERROR(AVERAGE('Query Log'!G4:G53),"")</f>
        <v/>
      </c>
      <c r="C8" s="263">
        <f>IFERROR(AVERAGE('Query Log'!I4:I53),"")</f>
        <v/>
      </c>
      <c r="D8" s="263">
        <f>IFERROR(AVERAGE('Query Log'!K4:K53),"")</f>
        <v/>
      </c>
      <c r="E8" s="263">
        <f>IF(OR(B8="",D8=""),"",B8-D8)</f>
        <v/>
      </c>
      <c r="F8" s="254" t="str"/>
      <c r="G8" s="254" t="str"/>
      <c r="H8" s="254" t="str"/>
    </row>
    <row r="9">
      <c r="A9" s="254" t="str"/>
      <c r="B9" s="254" t="str"/>
      <c r="C9" s="254" t="str"/>
      <c r="D9" s="254" t="str"/>
      <c r="E9" s="254" t="str"/>
      <c r="F9" s="254" t="str"/>
      <c r="G9" s="254" t="str"/>
      <c r="H9" s="254" t="str"/>
    </row>
    <row r="10">
      <c r="A10" s="254" t="str"/>
      <c r="B10" s="254" t="str"/>
      <c r="C10" s="254" t="str"/>
      <c r="D10" s="254" t="str"/>
      <c r="E10" s="254" t="str"/>
      <c r="F10" s="254" t="str"/>
      <c r="G10" s="254" t="str"/>
      <c r="H10" s="254" t="str"/>
    </row>
    <row r="11" ht="24" customHeight="1" s="229">
      <c r="A11" s="259" t="inlineStr">
        <is>
          <t>TABLE III - Mean Relevance Score by Query Type</t>
        </is>
      </c>
      <c r="B11" s="237" t="n"/>
      <c r="C11" s="237" t="n"/>
      <c r="D11" s="237" t="n"/>
      <c r="E11" s="238" t="n"/>
      <c r="F11" s="254" t="str"/>
      <c r="G11" s="254" t="str"/>
      <c r="H11" s="254" t="str"/>
    </row>
    <row r="12" ht="15" customHeight="1" s="229">
      <c r="A12" s="241" t="inlineStr">
        <is>
          <t>Query Type</t>
        </is>
      </c>
      <c r="B12" s="241" t="inlineStr">
        <is>
          <t>Cosine Sim (A)</t>
        </is>
      </c>
      <c r="C12" s="241" t="inlineStr">
        <is>
          <t>RAGAS (B)</t>
        </is>
      </c>
      <c r="D12" s="241" t="inlineStr">
        <is>
          <t>LLM-Judge (C)</t>
        </is>
      </c>
      <c r="E12" s="241" t="inlineStr">
        <is>
          <t>A vs C Delta</t>
        </is>
      </c>
      <c r="F12" s="254" t="str"/>
      <c r="G12" s="254" t="str"/>
      <c r="H12" s="254" t="str"/>
    </row>
    <row r="13" ht="19.5" customHeight="1" s="229">
      <c r="A13" s="260" t="inlineStr">
        <is>
          <t>Factual (Q1-Q20)</t>
        </is>
      </c>
      <c r="B13" s="261">
        <f>IFERROR(AVERAGEIFS('Query Log'!$H$4:$H$53,'Query Log'!$B$4:$B$53,"Factual"),"")</f>
        <v/>
      </c>
      <c r="C13" s="261">
        <f>IFERROR(AVERAGEIFS('Query Log'!$J$4:$J$53,'Query Log'!$B$4:$B$53,"Factual"),"")</f>
        <v/>
      </c>
      <c r="D13" s="261">
        <f>IFERROR(AVERAGEIFS('Query Log'!$L$4:$L$53,'Query Log'!$B$4:$B$53,"Factual"),"")</f>
        <v/>
      </c>
      <c r="E13" s="261">
        <f>IF(OR(B13="",D13=""),"",B13-D13)</f>
        <v/>
      </c>
      <c r="F13" s="254" t="str"/>
      <c r="G13" s="254" t="str"/>
      <c r="H13" s="254" t="str"/>
    </row>
    <row r="14" ht="19.5" customHeight="1" s="229">
      <c r="A14" s="262" t="inlineStr">
        <is>
          <t>Paraphrased (Q21-Q35)</t>
        </is>
      </c>
      <c r="B14" s="263">
        <f>IFERROR(AVERAGEIFS('Query Log'!$H$4:$H$53,'Query Log'!$B$4:$B$53,"Paraphrased"),"")</f>
        <v/>
      </c>
      <c r="C14" s="263">
        <f>IFERROR(AVERAGEIFS('Query Log'!$J$4:$J$53,'Query Log'!$B$4:$B$53,"Paraphrased"),"")</f>
        <v/>
      </c>
      <c r="D14" s="263">
        <f>IFERROR(AVERAGEIFS('Query Log'!$L$4:$L$53,'Query Log'!$B$4:$B$53,"Paraphrased"),"")</f>
        <v/>
      </c>
      <c r="E14" s="263">
        <f>IF(OR(B14="",D14=""),"",B14-D14)</f>
        <v/>
      </c>
      <c r="F14" s="254" t="str"/>
      <c r="G14" s="254" t="str"/>
      <c r="H14" s="254" t="str"/>
    </row>
    <row r="15" ht="19.5" customHeight="1" s="229">
      <c r="A15" s="260" t="inlineStr">
        <is>
          <t>Multi-hop (Q36-Q50)</t>
        </is>
      </c>
      <c r="B15" s="261">
        <f>IFERROR(AVERAGEIFS('Query Log'!$H$4:$H$53,'Query Log'!$B$4:$B$53,"Multi-hop"),"")</f>
        <v/>
      </c>
      <c r="C15" s="261">
        <f>IFERROR(AVERAGEIFS('Query Log'!$J$4:$J$53,'Query Log'!$B$4:$B$53,"Multi-hop"),"")</f>
        <v/>
      </c>
      <c r="D15" s="261">
        <f>IFERROR(AVERAGEIFS('Query Log'!$L$4:$L$53,'Query Log'!$B$4:$B$53,"Multi-hop"),"")</f>
        <v/>
      </c>
      <c r="E15" s="261">
        <f>IF(OR(B15="",D15=""),"",B15-D15)</f>
        <v/>
      </c>
      <c r="F15" s="254" t="str"/>
      <c r="G15" s="254" t="str"/>
      <c r="H15" s="254" t="str"/>
    </row>
    <row r="16" ht="19.5" customHeight="1" s="229">
      <c r="A16" s="262" t="inlineStr">
        <is>
          <t>All queries (Q1-Q50)</t>
        </is>
      </c>
      <c r="B16" s="263">
        <f>IFERROR(AVERAGE('Query Log'!H4:H53),"")</f>
        <v/>
      </c>
      <c r="C16" s="263">
        <f>IFERROR(AVERAGE('Query Log'!J4:J53),"")</f>
        <v/>
      </c>
      <c r="D16" s="263">
        <f>IFERROR(AVERAGE('Query Log'!L4:L53),"")</f>
        <v/>
      </c>
      <c r="E16" s="263">
        <f>IF(OR(B16="",D16=""),"",B16-D16)</f>
        <v/>
      </c>
      <c r="F16" s="254" t="str"/>
      <c r="G16" s="254" t="str"/>
      <c r="H16" s="254" t="str"/>
    </row>
    <row r="17">
      <c r="A17" s="254" t="str"/>
      <c r="B17" s="254" t="str"/>
      <c r="C17" s="254" t="str"/>
      <c r="D17" s="254" t="str"/>
      <c r="E17" s="254" t="str"/>
      <c r="F17" s="254" t="str"/>
      <c r="G17" s="254" t="str"/>
      <c r="H17" s="254" t="str"/>
    </row>
    <row r="18">
      <c r="A18" s="254" t="str"/>
      <c r="B18" s="254" t="str"/>
      <c r="C18" s="254" t="str"/>
      <c r="D18" s="254" t="str"/>
      <c r="E18" s="254" t="str"/>
      <c r="F18" s="254" t="str"/>
      <c r="G18" s="254" t="str"/>
      <c r="H18" s="254" t="str"/>
    </row>
    <row r="19">
      <c r="A19" s="254" t="str"/>
      <c r="B19" s="254" t="str"/>
      <c r="C19" s="254" t="str"/>
      <c r="D19" s="254" t="str"/>
      <c r="E19" s="254" t="str"/>
      <c r="F19" s="254" t="str"/>
      <c r="G19" s="254" t="str"/>
      <c r="H19" s="254" t="str"/>
    </row>
    <row r="20" ht="24" customHeight="1" s="229">
      <c r="A20" s="259" t="inlineStr">
        <is>
          <t>TABLE IV - Cost per Query Comparison</t>
        </is>
      </c>
      <c r="B20" s="237" t="n"/>
      <c r="C20" s="237" t="n"/>
      <c r="D20" s="237" t="n"/>
      <c r="E20" s="237" t="n"/>
      <c r="F20" s="238" t="n"/>
      <c r="G20" s="254" t="str"/>
      <c r="H20" s="254" t="str"/>
    </row>
    <row r="21" ht="15" customHeight="1" s="229">
      <c r="A21" s="241" t="inlineStr">
        <is>
          <t>Method</t>
        </is>
      </c>
      <c r="B21" s="241" t="inlineStr">
        <is>
          <t>Unit Cost / Query</t>
        </is>
      </c>
      <c r="C21" s="241" t="inlineStr">
        <is>
          <t>Queries</t>
        </is>
      </c>
      <c r="D21" s="241" t="inlineStr">
        <is>
          <t>Est. Total Cost</t>
        </is>
      </c>
      <c r="E21" s="241" t="inlineStr">
        <is>
          <t>Latency</t>
        </is>
      </c>
      <c r="F21" s="264" t="inlineStr">
        <is>
          <t>Notes</t>
        </is>
      </c>
      <c r="G21" s="254" t="str"/>
      <c r="H21" s="254" t="str"/>
    </row>
    <row r="22" ht="19.5" customHeight="1" s="229">
      <c r="A22" s="265" t="inlineStr">
        <is>
          <t>A - Cosine Similarity</t>
        </is>
      </c>
      <c r="B22" s="266" t="n">
        <v>0</v>
      </c>
      <c r="C22" s="266" t="n">
        <v>50</v>
      </c>
      <c r="D22" s="266">
        <f>B22*C22</f>
        <v/>
      </c>
      <c r="E22" s="267" t="inlineStr">
        <is>
          <t>&lt;10 ms after local embeddings</t>
        </is>
      </c>
      <c r="F22" s="268" t="inlineStr">
        <is>
          <t>Fully local once model is downloaded; no API calls.</t>
        </is>
      </c>
      <c r="G22" s="254" t="str"/>
      <c r="H22" s="254" t="str"/>
    </row>
    <row r="23" ht="19.5" customHeight="1" s="229">
      <c r="A23" s="269" t="inlineStr">
        <is>
          <t>B - RAGAS</t>
        </is>
      </c>
      <c r="B23" s="270" t="n">
        <v>0.003</v>
      </c>
      <c r="C23" s="270" t="n">
        <v>50</v>
      </c>
      <c r="D23" s="270">
        <f>B23*C23</f>
        <v/>
      </c>
      <c r="E23" s="271" t="inlineStr">
        <is>
          <t>1-3 s per item</t>
        </is>
      </c>
      <c r="F23" s="268" t="inlineStr">
        <is>
          <t>Edit unit cost if your LLM provider/model differs.</t>
        </is>
      </c>
      <c r="G23" s="254" t="str"/>
      <c r="H23" s="254" t="str"/>
    </row>
    <row r="24" ht="19.5" customHeight="1" s="229">
      <c r="A24" s="265" t="inlineStr">
        <is>
          <t>C - LLM-as-Judge</t>
        </is>
      </c>
      <c r="B24" s="266" t="n">
        <v>0.0015</v>
      </c>
      <c r="C24" s="266" t="n">
        <v>50</v>
      </c>
      <c r="D24" s="266">
        <f>B24*C24</f>
        <v/>
      </c>
      <c r="E24" s="267" t="inlineStr">
        <is>
          <t>1-2 s per item</t>
        </is>
      </c>
      <c r="F24" s="268" t="inlineStr">
        <is>
          <t>Single judge prompt per query; edit unit cost if needed.</t>
        </is>
      </c>
      <c r="G24" s="254" t="str"/>
      <c r="H24" s="254" t="str"/>
    </row>
    <row r="25">
      <c r="A25" s="254" t="str"/>
      <c r="B25" s="254" t="str"/>
      <c r="C25" s="254" t="str"/>
      <c r="D25" s="254" t="str"/>
      <c r="E25" s="254" t="str"/>
      <c r="F25" s="254" t="str"/>
      <c r="G25" s="254" t="str"/>
      <c r="H25" s="254" t="str"/>
    </row>
    <row r="26">
      <c r="A26" s="254" t="str"/>
      <c r="B26" s="254" t="str"/>
      <c r="C26" s="254" t="str"/>
      <c r="D26" s="254" t="str"/>
      <c r="E26" s="254" t="str"/>
      <c r="F26" s="254" t="str"/>
      <c r="G26" s="254" t="str"/>
      <c r="H26" s="254" t="str"/>
    </row>
    <row r="27">
      <c r="A27" s="254" t="str"/>
      <c r="B27" s="254" t="str"/>
      <c r="C27" s="254" t="str"/>
      <c r="D27" s="254" t="str"/>
      <c r="E27" s="254" t="str"/>
      <c r="F27" s="254" t="str"/>
      <c r="G27" s="254" t="str"/>
      <c r="H27" s="254" t="str"/>
    </row>
    <row r="28" ht="24" customHeight="1" s="229">
      <c r="A28" s="259" t="inlineStr">
        <is>
          <t>TABLE V - Failure Mode Tally</t>
        </is>
      </c>
      <c r="B28" s="237" t="n"/>
      <c r="C28" s="237" t="n"/>
      <c r="D28" s="237" t="n"/>
      <c r="E28" s="238" t="n"/>
      <c r="F28" s="254" t="str"/>
      <c r="G28" s="254" t="str"/>
      <c r="H28" s="254" t="str"/>
    </row>
    <row r="29" ht="15" customHeight="1" s="229">
      <c r="A29" s="241" t="inlineStr">
        <is>
          <t>Failure Mode</t>
        </is>
      </c>
      <c r="B29" s="241" t="inlineStr">
        <is>
          <t>Description</t>
        </is>
      </c>
      <c r="C29" s="241" t="inlineStr">
        <is>
          <t>Expected Count</t>
        </is>
      </c>
      <c r="D29" s="241" t="inlineStr">
        <is>
          <t>Your Count</t>
        </is>
      </c>
      <c r="E29" s="241" t="inlineStr">
        <is>
          <t>% of 50 Queries</t>
        </is>
      </c>
      <c r="F29" s="254" t="str"/>
      <c r="G29" s="254" t="str"/>
      <c r="H29" s="254" t="str"/>
    </row>
    <row r="30" ht="19.5" customHeight="1" s="229">
      <c r="A30" s="265" t="inlineStr">
        <is>
          <t>Retrieval miss</t>
        </is>
      </c>
      <c r="B30" s="265" t="inlineStr">
        <is>
          <t>Relevant chunk not retrieved or wrong document retrieved</t>
        </is>
      </c>
      <c r="C30" s="267" t="inlineStr">
        <is>
          <t>3-6</t>
        </is>
      </c>
      <c r="D30" s="272">
        <f>COUNTIF('Query Log'!$N$4:$N$53,A30)</f>
        <v/>
      </c>
      <c r="E30" s="273">
        <f>D30/50</f>
        <v/>
      </c>
      <c r="F30" s="254" t="str"/>
      <c r="G30" s="254" t="str"/>
      <c r="H30" s="254" t="str"/>
    </row>
    <row r="31" ht="19.5" customHeight="1" s="229">
      <c r="A31" s="269" t="inlineStr">
        <is>
          <t>Too vague</t>
        </is>
      </c>
      <c r="B31" s="269" t="inlineStr">
        <is>
          <t>Answer is broad and avoids the specific question</t>
        </is>
      </c>
      <c r="C31" s="271" t="inlineStr">
        <is>
          <t>2-5</t>
        </is>
      </c>
      <c r="D31" s="274">
        <f>COUNTIF('Query Log'!$N$4:$N$53,A31)</f>
        <v/>
      </c>
      <c r="E31" s="275">
        <f>D31/50</f>
        <v/>
      </c>
      <c r="F31" s="254" t="str"/>
      <c r="G31" s="254" t="str"/>
      <c r="H31" s="254" t="str"/>
    </row>
    <row r="32" ht="19.5" customHeight="1" s="229">
      <c r="A32" s="265" t="inlineStr">
        <is>
          <t>Answer ignored context</t>
        </is>
      </c>
      <c r="B32" s="265" t="inlineStr">
        <is>
          <t>Answer appears to rely on model priors instead of retrieved context</t>
        </is>
      </c>
      <c r="C32" s="267" t="inlineStr">
        <is>
          <t>1-4</t>
        </is>
      </c>
      <c r="D32" s="272">
        <f>COUNTIF('Query Log'!$N$4:$N$53,A32)</f>
        <v/>
      </c>
      <c r="E32" s="273">
        <f>D32/50</f>
        <v/>
      </c>
      <c r="F32" s="254" t="str"/>
      <c r="G32" s="254" t="str"/>
      <c r="H32" s="254" t="str"/>
    </row>
    <row r="33" ht="19.5" customHeight="1" s="229">
      <c r="A33" s="269" t="inlineStr">
        <is>
          <t>Paraphrase mismatch</t>
        </is>
      </c>
      <c r="B33" s="269" t="inlineStr">
        <is>
          <t>Cosine score low despite a semantically correct answer</t>
        </is>
      </c>
      <c r="C33" s="271" t="inlineStr">
        <is>
          <t>3-5</t>
        </is>
      </c>
      <c r="D33" s="274">
        <f>COUNTIF('Query Log'!$N$4:$N$53,A33)</f>
        <v/>
      </c>
      <c r="E33" s="275">
        <f>D33/50</f>
        <v/>
      </c>
      <c r="F33" s="254" t="str"/>
      <c r="G33" s="254" t="str"/>
      <c r="H33" s="254" t="str"/>
    </row>
    <row r="34">
      <c r="A34" s="268" t="inlineStr">
        <is>
          <t>Multi-hop divergence</t>
        </is>
      </c>
      <c r="B34" s="268" t="inlineStr">
        <is>
          <t>Cosine and LLM-judge disagree on multi-hop answers</t>
        </is>
      </c>
      <c r="C34" s="268" t="inlineStr">
        <is>
          <t>4-7</t>
        </is>
      </c>
      <c r="D34" s="268">
        <f>COUNTIF('Query Log'!$N$4:$N$53,A34)</f>
        <v/>
      </c>
      <c r="E34" s="276">
        <f>D34/50</f>
        <v/>
      </c>
      <c r="F34" s="254" t="str"/>
      <c r="G34" s="254" t="str"/>
      <c r="H34" s="254" t="str"/>
    </row>
    <row r="35">
      <c r="A35" s="268" t="inlineStr">
        <is>
          <t>Context drift</t>
        </is>
      </c>
      <c r="B35" s="268" t="inlineStr">
        <is>
          <t>Answer relevant to query but weakly grounded in retrieved chunks</t>
        </is>
      </c>
      <c r="C35" s="268" t="inlineStr">
        <is>
          <t>2-4</t>
        </is>
      </c>
      <c r="D35" s="268">
        <f>COUNTIF('Query Log'!$N$4:$N$53,A35)</f>
        <v/>
      </c>
      <c r="E35" s="276">
        <f>D35/50</f>
        <v/>
      </c>
      <c r="F35" s="254" t="str"/>
      <c r="G35" s="254" t="str"/>
      <c r="H35" s="254" t="str"/>
    </row>
    <row r="36">
      <c r="A36" s="268" t="inlineStr">
        <is>
          <t>Hallucination missed</t>
        </is>
      </c>
      <c r="B36" s="268" t="inlineStr">
        <is>
          <t>Cosine high but answer contains unsupported claims</t>
        </is>
      </c>
      <c r="C36" s="268" t="inlineStr">
        <is>
          <t>1-3</t>
        </is>
      </c>
      <c r="D36" s="268">
        <f>COUNTIF('Query Log'!$N$4:$N$53,A36)</f>
        <v/>
      </c>
      <c r="E36" s="276">
        <f>D36/50</f>
        <v/>
      </c>
      <c r="F36" s="254" t="str"/>
      <c r="G36" s="254" t="str"/>
      <c r="H36" s="254" t="str"/>
    </row>
    <row r="37">
      <c r="A37" s="268" t="inlineStr">
        <is>
          <t>No answer</t>
        </is>
      </c>
      <c r="B37" s="268" t="inlineStr">
        <is>
          <t>Model says it cannot answer even though context exists</t>
        </is>
      </c>
      <c r="C37" s="268" t="inlineStr">
        <is>
          <t>0-3</t>
        </is>
      </c>
      <c r="D37" s="268">
        <f>COUNTIF('Query Log'!$N$4:$N$53,A37)</f>
        <v/>
      </c>
      <c r="E37" s="276">
        <f>D37/50</f>
        <v/>
      </c>
      <c r="F37" s="254" t="str"/>
      <c r="G37" s="254" t="str"/>
      <c r="H37" s="254" t="str"/>
    </row>
    <row r="38">
      <c r="A38" s="268" t="inlineStr">
        <is>
          <t>Other</t>
        </is>
      </c>
      <c r="B38" s="268" t="inlineStr">
        <is>
          <t>Other failure tagged manually</t>
        </is>
      </c>
      <c r="C38" s="268" t="inlineStr">
        <is>
          <t>0-3</t>
        </is>
      </c>
      <c r="D38" s="268">
        <f>COUNTIF('Query Log'!$N$4:$N$53,A38)</f>
        <v/>
      </c>
      <c r="E38" s="276">
        <f>D38/50</f>
        <v/>
      </c>
      <c r="F38" s="254" t="str"/>
      <c r="G38" s="254" t="str"/>
      <c r="H38" s="254" t="str"/>
    </row>
    <row r="39">
      <c r="A39" s="254" t="str"/>
      <c r="B39" s="254" t="str"/>
      <c r="C39" s="254" t="str"/>
      <c r="D39" s="254" t="str"/>
      <c r="E39" s="254" t="str"/>
      <c r="F39" s="254" t="str"/>
      <c r="G39" s="254" t="str"/>
      <c r="H39" s="254" t="str"/>
    </row>
    <row r="40">
      <c r="A40" s="254" t="str"/>
      <c r="B40" s="254" t="str"/>
      <c r="C40" s="254" t="str"/>
      <c r="D40" s="254" t="str"/>
      <c r="E40" s="254" t="str"/>
      <c r="F40" s="254" t="str"/>
      <c r="G40" s="254" t="str"/>
      <c r="H40" s="254" t="str"/>
    </row>
    <row r="41">
      <c r="A41" s="254" t="str"/>
      <c r="B41" s="254" t="str"/>
      <c r="C41" s="254" t="str"/>
      <c r="D41" s="254" t="str"/>
      <c r="E41" s="254" t="str"/>
      <c r="F41" s="254" t="str"/>
      <c r="G41" s="254" t="str"/>
      <c r="H41" s="254" t="str"/>
    </row>
    <row r="42">
      <c r="A42" s="254" t="str"/>
      <c r="B42" s="254" t="str"/>
      <c r="C42" s="254" t="str"/>
      <c r="D42" s="254" t="str"/>
      <c r="E42" s="254" t="str"/>
      <c r="F42" s="254" t="str"/>
      <c r="G42" s="254" t="str"/>
      <c r="H42" s="254" t="str"/>
    </row>
    <row r="43">
      <c r="A43" s="254" t="str"/>
      <c r="B43" s="254" t="str"/>
      <c r="C43" s="254" t="str"/>
      <c r="D43" s="254" t="str"/>
      <c r="E43" s="254" t="str"/>
      <c r="F43" s="254" t="str"/>
      <c r="G43" s="254" t="str"/>
      <c r="H43" s="254" t="str"/>
    </row>
    <row r="44">
      <c r="A44" s="254" t="str"/>
      <c r="B44" s="254" t="str"/>
      <c r="C44" s="254" t="str"/>
      <c r="D44" s="254" t="str"/>
      <c r="E44" s="254" t="str"/>
      <c r="F44" s="254" t="str"/>
      <c r="G44" s="254" t="str"/>
      <c r="H44" s="254" t="str"/>
    </row>
    <row r="45">
      <c r="A45" s="254" t="str"/>
      <c r="B45" s="254" t="str"/>
      <c r="C45" s="254" t="str"/>
      <c r="D45" s="254" t="str"/>
      <c r="E45" s="254" t="str"/>
      <c r="F45" s="254" t="str"/>
      <c r="G45" s="254" t="str"/>
      <c r="H45" s="254" t="str"/>
    </row>
    <row r="46">
      <c r="A46" s="254" t="str"/>
      <c r="B46" s="254" t="str"/>
      <c r="C46" s="254" t="str"/>
      <c r="D46" s="254" t="str"/>
      <c r="E46" s="254" t="str"/>
      <c r="F46" s="254" t="str"/>
      <c r="G46" s="254" t="str"/>
      <c r="H46" s="254" t="str"/>
    </row>
    <row r="47">
      <c r="A47" s="254" t="str"/>
      <c r="B47" s="254" t="str"/>
      <c r="C47" s="254" t="str"/>
      <c r="D47" s="254" t="str"/>
      <c r="E47" s="254" t="str"/>
      <c r="F47" s="254" t="str"/>
      <c r="G47" s="254" t="str"/>
      <c r="H47" s="254" t="str"/>
    </row>
    <row r="48">
      <c r="A48" s="254" t="str"/>
      <c r="B48" s="254" t="str"/>
      <c r="C48" s="254" t="str"/>
      <c r="D48" s="254" t="str"/>
      <c r="E48" s="254" t="str"/>
      <c r="F48" s="254" t="str"/>
      <c r="G48" s="254" t="str"/>
      <c r="H48" s="254" t="str"/>
    </row>
    <row r="49">
      <c r="A49" s="254" t="str"/>
      <c r="B49" s="254" t="str"/>
      <c r="C49" s="254" t="str"/>
      <c r="D49" s="254" t="str"/>
      <c r="E49" s="254" t="str"/>
      <c r="F49" s="254" t="str"/>
      <c r="G49" s="254" t="str"/>
      <c r="H49" s="254" t="str"/>
    </row>
    <row r="50">
      <c r="A50" s="254" t="str"/>
      <c r="B50" s="254" t="str"/>
      <c r="C50" s="254" t="str"/>
      <c r="D50" s="254" t="str"/>
      <c r="E50" s="254" t="str"/>
      <c r="F50" s="254" t="str"/>
      <c r="G50" s="254" t="str"/>
      <c r="H50" s="254" t="str"/>
    </row>
    <row r="51">
      <c r="A51" s="254" t="str"/>
      <c r="B51" s="254" t="str"/>
      <c r="C51" s="254" t="str"/>
      <c r="D51" s="254" t="str"/>
      <c r="E51" s="254" t="str"/>
      <c r="F51" s="254" t="str"/>
      <c r="G51" s="254" t="str"/>
      <c r="H51" s="254" t="str"/>
    </row>
    <row r="52">
      <c r="A52" s="254" t="str"/>
      <c r="B52" s="254" t="str"/>
      <c r="C52" s="254" t="str"/>
      <c r="D52" s="254" t="str"/>
      <c r="E52" s="254" t="str"/>
      <c r="F52" s="254" t="str"/>
      <c r="G52" s="254" t="str"/>
      <c r="H52" s="254" t="str"/>
    </row>
    <row r="53">
      <c r="A53" s="254" t="str"/>
      <c r="B53" s="254" t="str"/>
      <c r="C53" s="254" t="str"/>
      <c r="D53" s="254" t="str"/>
      <c r="E53" s="254" t="str"/>
      <c r="F53" s="254" t="str"/>
      <c r="G53" s="254" t="str"/>
      <c r="H53" s="254" t="str"/>
    </row>
    <row r="54">
      <c r="A54" s="254" t="str"/>
      <c r="B54" s="254" t="str"/>
      <c r="C54" s="254" t="str"/>
      <c r="D54" s="254" t="str"/>
      <c r="E54" s="254" t="str"/>
      <c r="F54" s="254" t="str"/>
      <c r="G54" s="254" t="str"/>
      <c r="H54" s="254" t="str"/>
    </row>
    <row r="55">
      <c r="A55" s="254" t="str"/>
      <c r="B55" s="254" t="str"/>
      <c r="C55" s="254" t="str"/>
      <c r="D55" s="254" t="str"/>
      <c r="E55" s="254" t="str"/>
      <c r="F55" s="254" t="str"/>
      <c r="G55" s="254" t="str"/>
      <c r="H55" s="254" t="str"/>
    </row>
    <row r="56">
      <c r="A56" s="254" t="str"/>
      <c r="B56" s="254" t="str"/>
      <c r="C56" s="254" t="str"/>
      <c r="D56" s="254" t="str"/>
      <c r="E56" s="254" t="str"/>
      <c r="F56" s="254" t="str"/>
      <c r="G56" s="254" t="str"/>
      <c r="H56" s="254" t="str"/>
    </row>
    <row r="57">
      <c r="A57" s="254" t="str"/>
      <c r="B57" s="254" t="str"/>
      <c r="C57" s="254" t="str"/>
      <c r="D57" s="254" t="str"/>
      <c r="E57" s="254" t="str"/>
      <c r="F57" s="254" t="str"/>
      <c r="G57" s="254" t="str"/>
      <c r="H57" s="254" t="str"/>
    </row>
    <row r="58">
      <c r="A58" s="254" t="str"/>
      <c r="B58" s="254" t="str"/>
      <c r="C58" s="254" t="str"/>
      <c r="D58" s="254" t="str"/>
      <c r="E58" s="254" t="str"/>
      <c r="F58" s="254" t="str"/>
      <c r="G58" s="254" t="str"/>
      <c r="H58" s="254" t="str"/>
    </row>
    <row r="59">
      <c r="A59" s="254" t="str"/>
      <c r="B59" s="254" t="str"/>
      <c r="C59" s="254" t="str"/>
      <c r="D59" s="254" t="str"/>
      <c r="E59" s="254" t="str"/>
      <c r="F59" s="254" t="str"/>
      <c r="G59" s="254" t="str"/>
      <c r="H59" s="254" t="str"/>
    </row>
    <row r="60">
      <c r="A60" s="254" t="str"/>
      <c r="B60" s="254" t="str"/>
      <c r="C60" s="254" t="str"/>
      <c r="D60" s="254" t="str"/>
      <c r="E60" s="254" t="str"/>
      <c r="F60" s="254" t="str"/>
      <c r="G60" s="254" t="str"/>
      <c r="H60" s="254" t="str"/>
    </row>
  </sheetData>
  <mergeCells count="7">
    <mergeCell ref="A20:E20"/>
    <mergeCell ref="A28:E28"/>
    <mergeCell ref="A11:E11"/>
    <mergeCell ref="A1:E1"/>
    <mergeCell ref="A1:H1"/>
    <mergeCell ref="A20:F20"/>
    <mergeCell ref="A3:E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2026-06-14T15:10:44Z</dcterms:created>
  <dcterms:modified xsi:type="dcterms:W3CDTF">2026-06-14T15:11:19Z</dcterms:modified>
</cp:coreProperties>
</file>